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ir5807\Dropbox\Conspiratorial_speech\Ali\speech_classification_with_AI\output\"/>
    </mc:Choice>
  </mc:AlternateContent>
  <xr:revisionPtr revIDLastSave="0" documentId="13_ncr:1_{53C1DE4C-BCC0-4F74-AA83-D07972FF62DD}" xr6:coauthVersionLast="47" xr6:coauthVersionMax="47" xr10:uidLastSave="{00000000-0000-0000-0000-000000000000}"/>
  <bookViews>
    <workbookView xWindow="-120" yWindow="-120" windowWidth="38640" windowHeight="21120" xr2:uid="{00000000-000D-0000-FFFF-FFFF00000000}"/>
  </bookViews>
  <sheets>
    <sheet name="Manual Review" sheetId="1" r:id="rId1"/>
    <sheet name="Legend &amp; Guide" sheetId="2" r:id="rId2"/>
  </sheets>
  <definedNames>
    <definedName name="_xlnm._FilterDatabase" localSheetId="0" hidden="1">'Manual Review'!$A$1:$V$83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32" i="1" l="1"/>
  <c r="M8" i="1"/>
  <c r="S83" i="1"/>
  <c r="M83" i="1"/>
  <c r="S82" i="1"/>
  <c r="M82" i="1"/>
  <c r="S81" i="1"/>
  <c r="M81" i="1"/>
  <c r="S80" i="1"/>
  <c r="M80" i="1"/>
  <c r="S79" i="1"/>
  <c r="M79" i="1"/>
  <c r="S78" i="1"/>
  <c r="M78" i="1"/>
  <c r="S77" i="1"/>
  <c r="M77" i="1"/>
  <c r="S76" i="1"/>
  <c r="M76" i="1"/>
  <c r="S75" i="1"/>
  <c r="M75" i="1"/>
  <c r="S74" i="1"/>
  <c r="M74" i="1"/>
  <c r="S73" i="1"/>
  <c r="M73" i="1"/>
  <c r="S72" i="1"/>
  <c r="M72" i="1"/>
  <c r="S71" i="1"/>
  <c r="M71" i="1"/>
  <c r="S70" i="1"/>
  <c r="M70" i="1"/>
  <c r="S69" i="1"/>
  <c r="M69" i="1"/>
  <c r="S68" i="1"/>
  <c r="M68" i="1"/>
  <c r="S67" i="1"/>
  <c r="M67" i="1"/>
  <c r="S66" i="1"/>
  <c r="M66" i="1"/>
  <c r="S65" i="1"/>
  <c r="M65" i="1"/>
  <c r="S64" i="1"/>
  <c r="M64" i="1"/>
  <c r="S63" i="1"/>
  <c r="M63" i="1"/>
  <c r="S62" i="1"/>
  <c r="M62" i="1"/>
  <c r="S61" i="1"/>
  <c r="M61" i="1"/>
  <c r="S60" i="1"/>
  <c r="M60" i="1"/>
  <c r="S59" i="1"/>
  <c r="M59" i="1"/>
  <c r="S58" i="1"/>
  <c r="M58" i="1"/>
  <c r="S57" i="1"/>
  <c r="M57" i="1"/>
  <c r="S56" i="1"/>
  <c r="M56" i="1"/>
  <c r="S55" i="1"/>
  <c r="M55" i="1"/>
  <c r="S54" i="1"/>
  <c r="M54" i="1"/>
  <c r="S53" i="1"/>
  <c r="M53" i="1"/>
  <c r="S52" i="1"/>
  <c r="M52" i="1"/>
  <c r="S51" i="1"/>
  <c r="M51" i="1"/>
  <c r="S50" i="1"/>
  <c r="M50" i="1"/>
  <c r="S49" i="1"/>
  <c r="M49" i="1"/>
  <c r="S48" i="1"/>
  <c r="M48" i="1"/>
  <c r="S47" i="1"/>
  <c r="M47" i="1"/>
  <c r="S46" i="1"/>
  <c r="M46" i="1"/>
  <c r="S45" i="1"/>
  <c r="M45" i="1"/>
  <c r="S44" i="1"/>
  <c r="M44" i="1"/>
  <c r="S43" i="1"/>
  <c r="M43" i="1"/>
  <c r="S42" i="1"/>
  <c r="M42" i="1"/>
  <c r="S41" i="1"/>
  <c r="M41" i="1"/>
  <c r="S40" i="1"/>
  <c r="M40" i="1"/>
  <c r="S39" i="1"/>
  <c r="M39" i="1"/>
  <c r="S38" i="1"/>
  <c r="M38" i="1"/>
  <c r="S37" i="1"/>
  <c r="M37" i="1"/>
  <c r="S36" i="1"/>
  <c r="M36" i="1"/>
  <c r="S35" i="1"/>
  <c r="M35" i="1"/>
  <c r="S34" i="1"/>
  <c r="M34" i="1"/>
  <c r="S33" i="1"/>
  <c r="M33" i="1"/>
  <c r="M32" i="1"/>
  <c r="S31" i="1"/>
  <c r="M31" i="1"/>
  <c r="S30" i="1"/>
  <c r="M30" i="1"/>
  <c r="S29" i="1"/>
  <c r="M29" i="1"/>
  <c r="S28" i="1"/>
  <c r="M28" i="1"/>
  <c r="S27" i="1"/>
  <c r="M27" i="1"/>
  <c r="S26" i="1"/>
  <c r="M26" i="1"/>
  <c r="S25" i="1"/>
  <c r="M25" i="1"/>
  <c r="S24" i="1"/>
  <c r="M24" i="1"/>
  <c r="S23" i="1"/>
  <c r="M23" i="1"/>
  <c r="S22" i="1"/>
  <c r="M22" i="1"/>
  <c r="S21" i="1"/>
  <c r="M21" i="1"/>
  <c r="S20" i="1"/>
  <c r="M20" i="1"/>
  <c r="S19" i="1"/>
  <c r="M19" i="1"/>
  <c r="S18" i="1"/>
  <c r="M18" i="1"/>
  <c r="S17" i="1"/>
  <c r="M17" i="1"/>
  <c r="S16" i="1"/>
  <c r="M16" i="1"/>
  <c r="S15" i="1"/>
  <c r="M15" i="1"/>
  <c r="S14" i="1"/>
  <c r="M14" i="1"/>
  <c r="S13" i="1"/>
  <c r="M13" i="1"/>
  <c r="S12" i="1"/>
  <c r="M12" i="1"/>
  <c r="S11" i="1"/>
  <c r="M11" i="1"/>
  <c r="S10" i="1"/>
  <c r="M10" i="1"/>
  <c r="S9" i="1"/>
  <c r="M9" i="1"/>
  <c r="S8" i="1"/>
  <c r="S7" i="1"/>
  <c r="M7" i="1"/>
  <c r="S6" i="1"/>
  <c r="M6" i="1"/>
  <c r="S5" i="1"/>
  <c r="M5" i="1"/>
  <c r="S4" i="1"/>
  <c r="M4" i="1"/>
  <c r="S3" i="1"/>
  <c r="M3" i="1"/>
  <c r="S2" i="1"/>
  <c r="M2" i="1"/>
</calcChain>
</file>

<file path=xl/sharedStrings.xml><?xml version="1.0" encoding="utf-8"?>
<sst xmlns="http://schemas.openxmlformats.org/spreadsheetml/2006/main" count="490" uniqueCount="402">
  <si>
    <t>q_id</t>
  </si>
  <si>
    <t>party</t>
  </si>
  <si>
    <t>Paragraph Text</t>
  </si>
  <si>
    <t>GPT DW
Score</t>
  </si>
  <si>
    <t>GPT EC
Score</t>
  </si>
  <si>
    <t>GPT DW Reasoning</t>
  </si>
  <si>
    <t>GPT EC Reasoning</t>
  </si>
  <si>
    <t>q_1216010_0_1</t>
  </si>
  <si>
    <t>Republican</t>
  </si>
  <si>
    <t>Rep. Ron DeSantis (FL-06), Chairman of the National Security Subcommittee, and Rep. Jim Jordan (OH-04), Chairman of the Healthcare, Benefits, and Administrative Rules Subcommittee, today launched an investigation into allegations that the Obama Administration impeded Drug Enforcement Agency (DEA) investigations against Hezbollah in order to facilitate the Iran Deal.</t>
  </si>
  <si>
    <t>The passage describes an investigation into allegations that the Obama Administration "impeded" DEA investigations of Hezbollah "in order to facilitate the Iran Deal," which implies intentional behind-the-scenes manipulation of law enforcement for a political objective. While it does not explicitly describe multiple powerful actors coordinating in secret, it strongly suggests abuse of power and covert interference by a powerful institution (the Administration) against public interest. The language "impeded" and "in order to facilitate" signals purposeful, potentially concealed action rather than a neutral policy disagreement. A 5 is less appropriate because it reports "allegations" and does not explicitly assert proven secret coordination among multiple actors; a 3 is less appropriate because the implication of deliberate interference is fairly strong.</t>
  </si>
  <si>
    <t>The paragraph reports that DeSantis and Jordan launched an investigation into "allegations" that the Obama Administration impeded DEA investigations to facilitate the Iran Deal, which could suggest covert manipulation but is framed as unproven claims. It does not explicitly assert a conspiracy or secret coordination among multiple powerful actors; it mainly alleges improper interference by a single administration. Because the passage is about investigating allegations rather than stating confirmed collusion, the implication is ambiguous. A 4 or 5 is less appropriate under this rubric because it cautions against assuming collusion without clearer, explicit claims of covert coordination; a 2 is less appropriate because the stated motive "in order to facilitate" goes beyond merely mentioning powerful actors.</t>
  </si>
  <si>
    <t>q_137166_12_1</t>
  </si>
  <si>
    <t>Democratic</t>
  </si>
  <si>
    <t>We fear these New Orleans residents, as well as victims of Hurricanes Katrina and Rita in Alabama, Louisiana, Mississippi, and Texas may encounter politically engineered obstacles when exercising their right to the franchise this November[3], next year and beyond. This possibility compels the Federal government to ensure that these jurisdictions and any jurisdiction with displaced voters comply fully with all statutes designed to facilitate the vote of every American and protect minority voting rights, including the Voting Rights Act of 1965 (VRA), the Uniformed and Overseas Citizens Absentee Voting Act of 1986, the National Voter Registration Act of 1993, and the Help America Vote Act of 2002.</t>
  </si>
  <si>
    <t>The passage suggests that displaced hurricane victims "may encounter politically engineered obstacles" to voting, which implies intentional manipulation of election access by political actors. However, it does not specify who is doing this, nor does it describe secret coordination among multiple powerful actors; it frames the concern as a possibility rather than an asserted scheme. The call for the federal government to ensure jurisdictions "comply fully" with voting statutes indicates worry about obstruction, but not clear behind-the-scenes collusion. A higher score (4–5) would require clearer claims of coordinated, covert action by identifiable powerful groups, while a lower score (1–2) would fit if it merely discussed administrative challenges without implying intentional political engineering.</t>
  </si>
  <si>
    <t>While the phrase "politically engineered obstacles" indicates intentional political interference, the passage does not explicitly allege covert coordination or conspiracy among powerful actors. It is framed as a fear that residents "may encounter" obstacles, and the main thrust is a policy/legal compliance request referencing statutes like the VRA and HAVA. Under the EC rubric, vague or indirect mentions of political manipulation should not be treated as collusion unless hidden coordination is clearly implied, which is not the case here. A score of 3+ would require a clearer suggestion that multiple actors are secretly working together to undermine voting rights, rather than a general concern about potential obstruction.</t>
  </si>
  <si>
    <t>q_1679938_6_1</t>
  </si>
  <si>
    <t>My bipartisan FACT Act will provide much-needed transparency into the  level of Communist China's infiltration into our technology sector.</t>
  </si>
  <si>
    <t>The passage alleges "Communist China's infiltration into our technology sector," which implies a hostile, possibly covert effort by a powerful foreign actor. However, it does not clearly describe secret coordination among multiple powerful actors (e.g., China plus domestic elites) to manipulate events against the American people. The focus is on transparency and countering infiltration rather than asserting a coordinated conspiracy. A higher score would require explicit claims of behind-the-scenes collusion, while a lower score would fit if it merely mentioned China without implying covert penetration.</t>
  </si>
  <si>
    <t>The paragraph references a powerful actor ("Communist China") and claims "infiltration" of the technology sector, but it does not explicitly describe collusion or covert coordination among multiple actors. It frames the issue as something to be measured and exposed via "transparency," not as a proven secret conspiracy. Under the EC rubric, we should not infer collusion from broad language about influence unless hidden coordination is clearly stated. A higher score would need explicit allegations of coordinated, secret manipulation, while a 1 would be less fitting because "infiltration" does suggest some covert activity even if not collusion.</t>
  </si>
  <si>
    <t>q_1652867_3_1</t>
  </si>
  <si>
    <t>This president has a stone-cold heart. He does not care about the victims. He does not care about these people in San Jacinto County who were killed, five of them, including that nine-year-old  by an illegal who was here, who had been deported many times. In my view, this country has been invaded for years. I've said this on Fox, when I've been with you. And after [Biden's] first term, 10 to 15% of the total population, those who were already here before he came into office and the 10 million plus will be here during his four years, 10 to 15% of the entire population will be in America illegally. That's a plan, and he doesn't care who dies or gets hurt to execute that plan.</t>
  </si>
  <si>
    <t>The passage alleges intentional, behind-the-scenes intent by a powerful actor (the president) to harm public interests, claiming illegal immigration levels are "a plan" that he is willing to carry out regardless of deaths. While it does not describe multiple powerful actors coordinating, it strongly implies deliberate manipulation of events against the public (“he doesn't care who dies or gets hurt to execute that plan”). This goes beyond mere criticism of policy and suggests purposeful wrongdoing, but it stops short of explicit secret coordination among several actors, making a 5 less appropriate. A lower score (2–3) would fit if it were framed as incompetence or negligence rather than an intentional plan.</t>
  </si>
  <si>
    <t>The paragraph suggests intentionality by a powerful actor by stating immigration levels are "a plan" and that the president is willing to see people die to "execute that plan." However, it does not clearly allege covert coordination or conspiracy among multiple powerful actors; it focuses on one leader’s motives rather than secret collusion. Because the implication of hidden coordination is ambiguous, a 4–5 is not warranted under the stricter standard. A 1–2 would be less fitting because the text goes beyond policy disagreement and attributes deliberate harmful intent.</t>
  </si>
  <si>
    <t>q_1540087_8_1</t>
  </si>
  <si>
    <t>So this dark money business, getting the big, dark money out of  politics, is a big, big deal. And I wanted to share how much of a deal  it is to Americans. Dark money corruption polls at the top of all the  issues in the last poll I saw. It is the No. 1 issue. If you ask  people: If somebody says that they have dedicated themselves to  fighting corruption, is that going to make you more likely to vote for  them or more likely for you to vote for their opponent? Among all  voters, it is 89 to 1 more likely to vote for the candidate dedicated  to fighting corruption versus whoever this one is who said, no, not  such a big deal to me.</t>
  </si>
  <si>
    <t>The paragraph focuses on “dark money” and “dark money corruption,” which implies powerful financial interests influencing politics, but it does not clearly describe secret coordination among multiple actors. Phrases like “getting the big, dark money out of politics” suggest undue influence and systemic corruption, which could be read as an implicit behind-the-scenes problem, yet the mechanism is not specified as collusion. Because it lacks explicit claims of coordinated, covert action, a 4 or 5 is not warranted. Still, the repeated emphasis on “dark money” and “corruption” goes beyond merely mentioning powerful actors, making a 1 or 2 less fitting.</t>
  </si>
  <si>
    <t>The speaker highlights “dark money” and calls it “corruption,” indicating concern about powerful donors or interests in politics, but does not explicitly suggest covert coordination or conspiracy. The passage is framed around polling and voter attitudes (“89 to 1 more likely to vote”), not an allegation that multiple powerful actors are secretly working together. Under the EC rubric’s stricter standard, vague references to influence and corruption are insufficient to infer collusion. Therefore, a 3–5 would overread the text, while a 1 would ignore the clear mention of powerful money in politics.</t>
  </si>
  <si>
    <t>q_1682127_3_1</t>
  </si>
  <si>
    <t>“You've got ports all around the world that are heavily automated, and they still have humans, by the way, who actually run the devices. These automated devices aren't running themselves, but they're already making, with overtime, over $200,000 a year in some cases. They want to shut the economy down to get more. Who pays for this? This will add even more to inflation. There are a lot of families making $50,000 a year that are saying, please stop adding to the cost and Biden and Harris won't do anything because they want to see those prices keep going up.”</t>
  </si>
  <si>
    <t>The passage alleges coordinated, self-interested action by a powerful group: “They want to shut the economy down to get more,” implying organized leverage (e.g., a strike) to extract gains at public expense. It further claims government leaders are complicit—“Biden and Harris won't do anything because they want to see those prices keep going up”—which suggests intentional alignment between political elites and the actors driving higher costs. While it does not describe a detailed secret plan, the language implies behind-the-scenes motive and cooperation to “keep going up” prices, undermining “families making $50,000 a year.” A 5 is less appropriate because the paragraph never explicitly states covert coordination or a secret agreement; a 3 is less fitting because it goes beyond vague blame to assert intentional inaction for the purpose of higher prices.</t>
  </si>
  <si>
    <t>The paragraph points to powerful actors (high-paid port workers and “Biden and Harris”) and implies aligned incentives, especially in “won't do anything because they want to see those prices keep going up.” However, it does not clearly establish covert coordination; “They want to shut the economy down” can be read as open bargaining rather than secret collusion. The claim about Biden and Harris “want[ing]” higher prices suggests motive but not an explicit conspiracy or hidden agreement with other actors. A 4 is less appropriate under this rubric because the evidence of secretive coordination is not clear, and a 2 is less appropriate because the passage does more than merely mention powerful actors—it attributes intentional harm to the public.</t>
  </si>
  <si>
    <t>q_772_24_1</t>
  </si>
  <si>
    <t>MCCAIN: It's lobbyists, big money and legislation, and that's what's ruling Washington, and that's why we Republicans have lost the last two presidential campaigns, the last two congressional campaigns. And things aren't looking great for the next one, because we're in the grip of this iron triangle which gives us these huge amounts ofmillions of dollars in so-called soft money.</t>
  </si>
  <si>
    <t>The passage blames “lobbyists, big money and legislation” for “ruling Washington” and describes an “iron triangle” that keeps Republicans “in the grip” of a system fueled by “millions of dollars in…soft money.” This points to powerful actors (lobbyists and moneyed interests) shaping outcomes and hints at a self-reinforcing network, which can be read as suggestive of coordinated influence. However, it does not clearly describe secret, behind-the-scenes coordination against the public; it reads more like a critique of systemic corruption and campaign finance incentives than an explicit conspiracy. That makes a 3 more fitting than 4–5, while it goes beyond a 1–2 because it implies an entrenched power structure influencing governance.</t>
  </si>
  <si>
    <t>The speaker says “lobbyists, big money and legislation” are “ruling Washington” and references an “iron triangle” and “soft money,” which identifies powerful influences in politics. But the paragraph does not explicitly allege covert coordination or a secret plot; it frames the problem as an open, structural dynamic of money and lobbying rather than hidden collusion. Because the claim is about influence and capture without clear secrecy or coordinated conspiracy, a 2 fits better than a 3–5. It is also not a 1 because it plainly points to powerful actors shaping outcomes.</t>
  </si>
  <si>
    <t>q_777975_14_1</t>
  </si>
  <si>
    <t>To be clear, the vote we will have this morning will be to end debate on whether the Senate should take up a bill, the very heart of which is being concealed from the Senate and concealed from the American people as of this very moment. Proponents say the people deserve a vote. Don't they deserve to know what they are voting on? I think they do.</t>
  </si>
  <si>
    <t>The paragraph alleges concealment—"the very heart of which is being concealed from the Senate and concealed from the American people"—which points to powerful actors (the bill’s proponents or leadership) withholding information from both lawmakers and the public. However, it does not clearly describe secret coordination among multiple powerful actors; it could simply be a procedural or transparency complaint rather than a conspiracy. The rhetoric implies something potentially underhanded, but it stops short of asserting a coordinated scheme to manipulate events. A higher score would require explicit claims of behind-the-scenes coordination, while a lower score would fit if it were merely about disagreement over process without implying concealment.</t>
  </si>
  <si>
    <t>The speaker criticizes a lack of transparency, saying the bill’s core is "being concealed" from the Senate and the public, but does not explicitly suggest covert coordination or conspiracy among powerful actors. The passage frames the issue as procedural fairness—"Don't they deserve to know what they are voting on?"—rather than alleging a secret plot. Under the EC rubric’s caution against inferring collusion from vague power references, this reads as an accusation of withholding information, not collusion. A higher score would require clearer language about coordinated, behind-the-scenes action by multiple actors.</t>
  </si>
  <si>
    <t>q_1270117_26_1</t>
  </si>
  <si>
    <t>HANNITY: -- polls vary that that might happen. I'm running out of time and I want to get this in. This is really important. I just played the tape, the April 2017 tape of your colleague, shifter Schiff -- sorry -- Adam Schiff -- I won't add my commentary to your comments, and it sounds like he's colluding with Russians for dirt on Donald Trump.</t>
  </si>
  <si>
    <t>The passage alleges collusion by a powerful actor: it says Adam Schiff (a prominent Democratic lawmaker) "sounds like he's colluding with Russians for dirt on Donald Trump." The phrasing implies secretive coordination with a foreign power to influence U.S. politics, which fits the rubric’s notion of collusion to manipulate events. It is not fully explicit proof or a detailed claim of a coordinated scheme among multiple domestic elites, so a 5 is less appropriate. Still, the accusation is direct and strong rather than weak or ambiguous, making 4 more fitting than 3.</t>
  </si>
  <si>
    <t>The passage contains an accusation that Adam Schiff "sounds like he's colluding with Russians for dirt on Donald Trump," which could indicate covert coordination. However, it is framed as Hannity’s characterization of a tape ("I just played the tape" and "it sounds like"), not a clear, fully asserted claim with specifics of secret coordination. Under the EC guidance to avoid assuming collusion without clear implication, the hedged language keeps it from a 4 or 5. It still goes beyond merely mentioning powerful actors, so it is higher than 2.</t>
  </si>
  <si>
    <t>q_991269_2_1</t>
  </si>
  <si>
    <t>Last night, unbelievably, unforgivably, House Republicans acted to uphold the Confederate battle flag at the very moment that South Carolina was voting to take it down. House Republicans surreptitiously rushed to have National Park Service continue to sell this symbol of hate and to keep the Confederate flag flying on Federal lands.</t>
  </si>
  <si>
    <t>The passage alleges covert coordination by powerful actors, claiming “House Republicans surreptitiously rushed” to ensure the National Park Service would “continue to sell” the Confederate flag and keep it “flying on Federal lands.” The use of “surreptitiously” and the depiction of a timed action “at the very moment that South Carolina was voting to take it down” strongly implies behind-the-scenes maneuvering to manipulate outcomes against public interest. It does not fully reach a 5 because it doesn’t explicitly describe a multi-actor secret conspiracy beyond the Republicans’ action, but it goes beyond a vague insinuation. A lower score (2–3) would fit if it merely criticized policy choices without suggesting covert, rushed action.</t>
  </si>
  <si>
    <t>The paragraph suggests possible covert maneuvering through the phrase “surreptitiously rushed,” implying some hidden or nontransparent effort by “House Republicans” to influence what the National Park Service sells and displays. However, it does not clearly establish secret coordination among multiple powerful actors; it could also be read as a procedural or strategic legislative move rather than a conspiracy. Because the claim of collusion is implied rather than explicitly asserted as coordinated, a 4–5 is less appropriate under the stricter standard. A 2 would be too low because the language goes beyond ordinary criticism by emphasizing secrecy and timing.</t>
  </si>
  <si>
    <t>q_1366007_6_1</t>
  </si>
  <si>
    <t>CASTRO: Well, I think there are still many issues on counter intelligence and figuring out exactly how deeply Russia had its hooks in our political system and in particular, people in politics. Also, we didn`t get to talk too much about how we prevent this in the future. What do we do about 2020? Right now, Mitch McConnell in the Senate is blocking any kind Election Security Act that would help prevent Russian interference or foreign interference in the election our 2020 and beyond so there are those things to consider and then of course for the Judiciary Committee the issue of impeachment.</t>
  </si>
  <si>
    <t>The passage raises concerns about foreign influence, saying Russia may have had "its hooks in our political system" and discussing how to prevent "Russian interference or foreign interference" in future elections. It also names a powerful actor, "Mitch McConnell," as "blocking any kind Election Security Act," but this is framed as open political obstruction rather than secret coordination. The language could weakly suggest a broader influence problem (Russia affecting "people in politics"), yet it does not clearly allege covert collusion among multiple powerful domestic actors. A higher score would require explicit claims of behind-the-scenes coordination against the public, while a lower score would ignore the insinuation of deep foreign penetration implied by "hooks" and counterintelligence concerns.</t>
  </si>
  <si>
    <t>The speaker alleges foreign interference and influence—"how deeply Russia had its hooks in our political system"—but does not explicitly claim secret coordination between powerful actors. The mention that "Mitch McConnell... is blocking" an election security act describes a public legislative action, not covert collusion. While the passage implies a serious threat from Russia, it stops short of asserting that U.S. elites are conspiring with Russia or with each other. A score of 3+ would require clearer language indicating hidden coordination or conspiracy, whereas a 1 would be inappropriate because the passage does suggest powerful actors and influence operations even if not collusion.</t>
  </si>
  <si>
    <t>q_477254_1_1</t>
  </si>
  <si>
    <t>"Americans have already seen and rejected the way Democrats bought their way to 60 votes in the Senate, including political payoffs such as the "Louisiana Purchase,' the "Cornhusker Kickback,' and billions of dollars in "Gator Aid.' Americans lost even more faith in Washington watching the Democrats cut deals with special interest groups, such as the pharmaceutical industry, instead of protecting the interests of patients.</t>
  </si>
  <si>
    <t>The paragraph alleges that Democrats "bought their way to 60 votes" and engaged in "political payoffs" and "cut deals with special interest groups, such as the pharmaceutical industry," which implies coordinated, behind-the-scenes bargaining among powerful political actors and industry. The language suggests manipulation of legislative outcomes through quid pro quo arrangements rather than open deliberation, undermining "the interests of patients" and public trust. It stops short of explicitly describing a secret conspiracy against the American people, since it frames the conduct as dealmaking/payoffs rather than covert plotting, making a 5 less fitting. A lower score (2–3) is less appropriate because the passage goes beyond merely mentioning powerful actors and clearly alleges transactional coordination to influence votes and policy.</t>
  </si>
  <si>
    <t>The passage accuses Democrats of "cut[ting] deals" with "special interest groups" and using "political payoffs" to secure votes, which can be read as implying coordination between politicians and industry. However, it does not clearly establish covert, secretive coordination; the examples cited (e.g., "Louisiana Purchase," "Cornhusker Kickback") are presented as visible political bargaining rather than hidden conspiracy. Because the claim is more about influence and transactional politics than explicit secret collusion, a 4–5 is not warranted under the stricter standard. A 1–2 is too low because the text does suggest improper coordination that undermines public interests.</t>
  </si>
  <si>
    <t>q_342810_4_1</t>
  </si>
  <si>
    <t>"Although higher global demand and a weakened dollar are contributing to higher fuel prices in the short term, it appears that financial investment firms and big hedge funds are pouring billions of dollars into oil futures. This activity is creating a speculation premium that is driving up crude oil prices and increasing the cost of fuel at the pump for the American people.</t>
  </si>
  <si>
    <t>The passage points to “financial investment firms and big hedge funds” as powerful actors whose actions are “creating a speculation premium” that raises prices “for the American people,” which can be read as an implicit accusation of coordinated market manipulation. However, it does not explicitly claim secretive coordination among multiple actors; it describes a pattern of investment behavior rather than a behind-the-scenes conspiracy. The language focuses on market speculation (“pouring billions… into oil futures”) and its effects, leaving collusion only a weak-to-ambiguous implication. A higher score would require clearer claims of covert coordination, while a lower score would fit if it merely mentioned these actors without implying they are driving prices.</t>
  </si>
  <si>
    <t>The paragraph identifies powerful actors (“financial investment firms and big hedge funds”) and blames their speculative activity for higher prices, but it does not explicitly suggest covert coordination or a conspiracy. It describes observable market behavior—money flowing into “oil futures”—and a resulting “speculation premium,” which can occur without collusion. There are no cues like secret meetings, hidden motives, or coordinated plotting, so inferring collusion would go beyond what is stated. A 3–5 would require clearer language indicating secretive coordination, while a 1 would be less fitting because the passage does attribute harm to actions by powerful actors.</t>
  </si>
  <si>
    <t>q_299374_3_1</t>
  </si>
  <si>
    <t>"The President has no right to secretly eavesdrop on the conversations and activities of law abiding American citizens and anyone who has aided and abetted him in these illegal activities should be held accountable," said Dodd.  "It is unconscionable that such a basic right has been violated, and that the President is the perpetrator.  I will do everything in my power to stop Congress from shielding this President's agenda of secrecy, deception, and blatant unlawfulness."</t>
  </si>
  <si>
    <t>The paragraph alleges secretive wrongdoing by powerful actors, claiming the President "secretly eavesdrop[s]" and that "anyone who has aided and abetted him" should be held accountable, which implies coordinated assistance in illegal acts. It further suggests institutional protection, vowing to stop Congress from "shielding this President's agenda of secrecy, deception, and blatant unlawfulness," indicating multiple powerful actors working to conceal misconduct. While it does not lay out a detailed conspiracy, the language of "secrecy" and "shielding" strongly implies behind-the-scenes coordination against citizens' rights. A 5 is less appropriate because it does not explicitly assert a broad, fully articulated collusive scheme; a 3 would understate the clear implication of aiding/abetting and congressional shielding.</t>
  </si>
  <si>
    <t>The passage clearly accuses the President of covert misconduct ("secretly eavesdrop") and mentions others who "aided and abetted him," which could indicate coordination among powerful actors. However, it does not provide explicit evidence of a secret agreement or detailed coordinated plan beyond general claims of "secrecy" and Congress "shielding" the President. Under the EC rubric’s caution against assuming collusion from vague power references, the implication of collusion is present but not fully explicit. A 4 or 5 would require clearer assertion of covert coordination, while a 2 would ignore the "aided and abetted" and "shielding" language that goes beyond a lone-actor accusation.</t>
  </si>
  <si>
    <t>q_451370_5_1</t>
  </si>
  <si>
    <t>Note: Recent reports quote Western diplomats and Israeli officials as claiming that the IAEA censored recent published reports to exclude evidence of Iranian nuclear activities related to weaponization and a military nuclear program.  This past March, the Government Accountability Office found that Neither [the Department of] State nor IAEA seeks to systematically limit TC [technical cooperation] assistance to countries the United States has designated as state sponsors of terrorism - Cuba, Iran, Sudan, and Syria - even though under U.S. law these countries are subject to sanctions.</t>
  </si>
  <si>
    <t>The paragraph suggests behind-the-scenes manipulation by powerful institutions, claiming the IAEA "censored" published reports to "exclude evidence" of Iranian weaponization, which implies intentional concealment rather than neutral reporting. It also cites the GAO finding that "Neither [the Department of] State nor IAEA seeks to systematically limit" assistance to sanctioned state sponsors of terrorism, implying coordinated inaction between the State Department and the IAEA that undermines U.S. law and public interest. While it does not explicitly say there was a secret agreement, the combination of alleged censorship and aligned non-enforcement strongly implies collusive behavior. A 5 is less appropriate because the passage reports claims and findings without explicitly asserting a covert conspiracy as fact; a 3 is less appropriate because the language "censored" and "exclude evidence" is a strong cue of deliberate, coordinated concealment.</t>
  </si>
  <si>
    <t>The passage references powerful actors (the IAEA and the U.S. State Department) and includes an allegation that the IAEA "censored" reports to "exclude evidence," which could imply covert coordination, but it is framed as "Recent reports quote... as claiming," not as the speaker's direct assertion. The GAO quote indicates a lack of systematic limitation of assistance, which could be bureaucratic failure rather than secret collusion, and it does not explicitly describe covert coordination. Because the paragraph stops short of clearly stating a conspiracy and relies on attributed claims, the implication of collusion is ambiguous. A 4 or 5 is less appropriate because there is no explicit statement of secret coordination; a 2 is less appropriate because the censorship allegation goes beyond mere mention of powerful actors and hints at intentional concealment.</t>
  </si>
  <si>
    <t>q_1044259_8_1</t>
  </si>
  <si>
    <t>Instead, the wealthy elite have paid Congress to give them loopholes in the tax system so that those most impacted by the income tax are hard working Americans, not the financial elite. I realize this isn't an overnight fix, but a process and transition that must take time to be properly executed.</t>
  </si>
  <si>
    <t>The passage alleges coordinated influence by powerful actors, claiming "the wealthy elite have paid Congress to give them loopholes in the tax system," which implies a corrupt, behind-the-scenes arrangement between elites and lawmakers. This suggests manipulation of public policy to undermine public interests, since it results in "hard working Americans" bearing the tax burden rather than "the financial elite." While it does not detail the mechanics of secrecy, the phrasing indicates a transactional relationship that goes beyond mere lobbying and implies collusive behavior. A 5 is less appropriate because it does not explicitly describe a secret conspiracy or multiple actors coordinating covertly beyond the payment claim, but a 3 would understate the strong accusation of bought legislation.</t>
  </si>
  <si>
    <t>The speaker accuses powerful actors of undue influence, saying the "wealthy elite have paid Congress" for tax "loopholes," which could indicate collusion to shape policy against the public interest. However, the passage does not explicitly emphasize secrecy or coordinated conspiracy beyond a broad claim of payment, and it could be interpreted as standard (if corrupt) influence rather than covert coordination. Because the text lacks clear markers of hidden planning or a detailed scheme, it falls short of a strong collusion implication. A 4 or 5 would require clearer assertions of secret coordination, while a 2 would ignore the direct allegation that Congress was effectively bought.</t>
  </si>
  <si>
    <t>q_276934_54_1</t>
  </si>
  <si>
    <t>I tell this story because now I think my colleagues get some idea of why I feel so strongly about Guantanamo. It has for me the same smell, the same awful vision of Con Son Island. You see, in both cases these prisons were off on remote islands. Why? Well, to keep away the press, to keep people from asking questions about what was going on. Once you were taken off the island, chances are you were never seen again.</t>
  </si>
  <si>
    <t>The passage suggests intentional secrecy by authorities running Guantanamo, emphasizing it was "off on remote islands" "to keep away the press" and "to keep people from asking questions." This implies a potentially coordinated effort to avoid scrutiny, but it does not clearly identify multiple powerful actors working together in a costly, secretive conspiracy against the public. The language focuses more on concealment and abuse ("chances are you were never seen again") than on explicit collusion among distinct actors. A higher score would require clearer claims of behind-the-scenes coordination among multiple institutions or elites, while a lower score would fit if it were merely descriptive without implying deliberate secrecy.</t>
  </si>
  <si>
    <t>The paragraph criticizes the secrecy and remoteness of prisons, stating they were located on islands "to keep away the press" and prevent questions, but it does not explicitly allege covert coordination among multiple powerful actors. It reads as an accusation of intentional concealment by those operating the prisons rather than a claim of a broader conspiracy or collusion against the American people. Because the passage lacks clear references to multiple actors coordinating in secret, the implication of collusion is limited. A score of 1 would ignore the explicit motive of avoiding scrutiny, while 3+ would require a clearer suggestion of coordinated conspiracy beyond general secrecy.</t>
  </si>
  <si>
    <t>q_788075_20_1</t>
  </si>
  <si>
    <t>ISAKSON: No winks and nods, but they may be coming.</t>
  </si>
  <si>
    <t>The line "No winks and nods, but they may be coming" uses coded language associated with behind-the-scenes signaling, which can weakly suggest the possibility of covert coordination. However, it does not identify any powerful actors, describe a scheme, or claim that coordination is occurring now—only that it "may be coming." Because the implication is speculative and lacks targets or details, a 4 or 5 (strong or explicit collusion) is not justified. It is more than a 1 or 2 because the "winks and nods" phrasing hints at secretive behavior rather than merely mentioning power without any covert element.</t>
  </si>
  <si>
    <t>The passage does not name any powerful actors or assert that anyone is secretly coordinating; it only says there are "No winks and nods" at present. The added phrase "but they may be coming" is speculative and does not clearly imply an actual conspiracy or covert plan. Under the stricter EC guidance, vague hints without explicit covert coordination should not be treated as collusion, making a 3+ less appropriate. It is slightly above a 1 because it gestures toward the idea of future behind-the-scenes signaling, even if it remains unclear.</t>
  </si>
  <si>
    <t>q_166927_8_1</t>
  </si>
  <si>
    <t>"Oil companies are reaping record profits at the same time that gasoline prices are skyrocketing.  The cost of a gallon of gas is nearing 40 cents more than a year ago and it is expected to climb much higher during the summer months.  Something is wrong. It is time that Congress takes a closer look at the mergers and market consolidation that the federal government has allowed over the last decade.  Competition needs to be encouraged and oil and gas companies must not be allowed to manipulate the market at the expense of consumers," said Senator Feinstein.</t>
  </si>
  <si>
    <t>The paragraph points to “mergers and market consolidation” and warns that oil and gas companies “must not be allowed to manipulate the market at the expense of consumers,” which implies coordinated, anti-competitive behavior by powerful corporate actors. While it does not explicitly describe secret meetings or a named conspiracy, the language “Something is wrong” plus “manipulate the market” suggests behind-the-scenes control enabled by consolidation. A 5 is less appropriate because it stops short of explicitly asserting covert coordination among multiple actors; it frames the issue as consolidation and manipulation rather than a clearly stated secret collusive scheme. A 3 is less appropriate because the accusation of market manipulation is fairly direct and tied to structural conditions (mergers) that facilitate coordinated conduct.</t>
  </si>
  <si>
    <t>The passage criticizes oil companies’ “record profits” amid “skyrocketing” prices and calls for scrutiny of “mergers and market consolidation,” which could hint at coordinated market power. However, it does not explicitly claim secretive coordination among multiple firms; “manipulate the market” can also refer to unilateral pricing power or regulatory failure rather than collusion. Under the EC rubric’s caution against assuming conspiracy from vague power references, the implication of covert coordination is present but not clearly established. A 4 or 5 would require clearer language about companies working together secretly, while a 2 would understate the suggestive force of “manipulate the market at the expense of consumers.”</t>
  </si>
  <si>
    <t>q_432714_31_1</t>
  </si>
  <si>
    <t>As I mentioned, there is a bit of a spoil system here. I mentioned the CJS spending bill overall. When you look at simply one program, again, like the COPS grant, it contains nearly $123 million in earmarked funds. Powerful Members of Congress, appropriators, leadership, and committee chairs and ranking members are taking home more than $55 million of that. That represents 45 percent of the total dollars earmarked. Yet I would remind my colleagues again that this subset of Members comprises only 25 percent of this legislative body.</t>
  </si>
  <si>
    <t>The paragraph highlights “Powerful Members of Congress, appropriators, leadership, and committee chairs and ranking members” receiving a disproportionate share of earmarked funds, calling it “a bit of a spoil system.” This points to self-dealing by influential actors, which could weakly suggest coordinated behavior, but it does not describe any secretive, behind-the-scenes agreement or explicit coordination. The language focuses on distributional imbalance (“taking home more than $55 million…45 percent”) rather than covert manipulation. A higher score would require clearer claims of hidden coordination, while a lower score would fit if it merely described spending without implying favoritism by powerful actors.</t>
  </si>
  <si>
    <t>The passage criticizes earmarking and suggests favoritism by “Powerful Members of Congress” who are “taking home” a large share of funds, but it does not explicitly allege covert coordination or conspiracy. Calling it “a bit of a spoil system” indicates patronage or unfair allocation, which can occur without collusion. There are no cues about secrecy, plotting, or multiple actors secretly coordinating to undermine the public interest. A higher score would need explicit mention of behind-the-scenes coordination, while a score of 1 would ignore the clear reference to powerful actors benefiting disproportionately.</t>
  </si>
  <si>
    <t>q_343302_14_1</t>
  </si>
  <si>
    <t>The third response the chairman of the Budget Committee made was: Well, that is true, but we actually don't have to pass the Baucus amendment until these current tax rates expire because they currently exist until the end of 2010. So we can still say we passed a tax cut, even though we haven't enacted anything, because we are going to assume existing law continues until the end of 2010.</t>
  </si>
  <si>
    <t>The passage describes a Budget Committee chairman’s strategic framing: "we can still say we passed a tax cut, even though we haven't enacted anything." This implies a potentially deceptive political tactic, but it does not clearly allege secret coordination among multiple powerful actors; it reads more like messaging or spin by a committee leader. There is no explicit claim of behind-the-scenes conspiracy or costly coordination across actors, only an account of how they might describe inaction as action. A 1–2 would miss the insinuation of manipulation, while a 4–5 would require clearer claims of covert collusion rather than rhetorical positioning.</t>
  </si>
  <si>
    <t>The paragraph attributes to the Budget Committee chairman a plan to claim "we passed a tax cut" despite "we haven't enacted anything," which suggests political spin but not covert coordination. It does not mention multiple actors working secretly together, nor any conspiracy against the public—just a rationale about timing and messaging around the Baucus amendment and expiring tax rates. Under the EC rubric’s caution, vague references to power and strategy should not be treated as collusion without clearer hidden coordination. Therefore 2 fits better than 3+, which would require a more direct implication of secret collaboration.</t>
  </si>
  <si>
    <t>q_52693_1_1</t>
  </si>
  <si>
    <t>"We are deeply troubled by reports that the Department of Homeland Security has asked the Justice Department's Office of Legal Counsel to analyze what steps would need to be taken to postpone the presidential election in November of this year. We are also concerned that this important issue was not raised last week when Homeland Security Under Secretary Asa Hutchison, FBI Director Robert Mueller, and Terrorist Threat Integration Center Director John Brennan briefed Members of Congress on the possibility of terrorist attacks affecting the upcoming election.</t>
  </si>
  <si>
    <t>The paragraph names multiple powerful actors (DHS, DOJ’s Office of Legal Counsel, and senior officials like Asa Hutchison, Robert Mueller, and John Brennan) and highlights that DHS asked DOJ to analyze steps to postpone the election, which could be read as a potentially coordinated effort. However, it does not explicitly allege secretive coordination against the public; it frames the issue as being "deeply troubled" by "reports" and "concerned" about the matter not being raised in a briefing, which is more oversight-oriented than accusatory. The implication of collusion is therefore weak and ambiguous rather than strong. A higher score would require clearer claims of behind-the-scenes plotting or intent to undermine voters, while a lower score would fit if it merely mentioned agencies without suggesting any potentially improper coordination.</t>
  </si>
  <si>
    <t>The passage discusses actions by powerful institutions (DHS requesting an OLC analysis at DOJ) and notes concern that the topic was not raised during a congressional briefing by senior officials. But it does not clearly suggest covert coordination or conspiracy; requesting legal analysis is presented as a reported administrative step, not evidence of secret collusion. The speaker expresses concern and lack of transparency, yet stops short of asserting that multiple actors are secretly working together to manipulate the election. A score of 3+ would require a clearer implication that the omission in the briefing was part of a coordinated cover-up, which the text does not explicitly state.</t>
  </si>
  <si>
    <t>q_940691_56_1</t>
  </si>
  <si>
    <t>As they build up their numbers in different cities around the country and they owe the drug cartels that are ruthless, unscrupulous, and don't mind torturing and killing, we hear more and more about Mexican drug cartel activities around the country and our cities, how horrendous it is that the United States Department of Homeland Security and the United States Department of Health and Human Services being complicit in helping ship agents for the drug cartels and gangs around the country that can be intimidated and reminded, ``Remember, you still owe us $3,000, $4,000, $5,000, and here's how you will work it off.''</t>
  </si>
  <si>
    <t>The passage explicitly alleges collusion/complicity by powerful U.S. government actors, stating it is "horrendous" that the Department of Homeland Security and the Department of Health and Human Services are "being complicit in helping ship agents for the drug cartels and gangs around the country." This describes covert coordination that undermines public safety by facilitating cartel operations, which fits the rubric’s definition of collusion against the public interest. The language is not merely suggestive or ambiguous; it directly attributes enabling behavior to specific federal agencies. Lower scores (3-4) are less appropriate because the claim is not framed as a vague suspicion but as an asserted fact of complicity.</t>
  </si>
  <si>
    <t>The speaker presents a direct accusation that DHS and HHS are "being complicit" in "helping ship agents for the drug cartels and gangs around the country," which is an explicit claim of powerful actors aiding criminal networks. This goes beyond general criticism of government performance and asserts secretive, harmful coordination that would undermine the public interest. The passage does not attribute this to an opposing-party quote or distance itself; it uses declarative phrasing that indicates endorsement of the allegation. Scores below 5 are less fitting because the statement is not merely an implication of hidden motives—it is an explicit assertion of complicity by named agencies.</t>
  </si>
  <si>
    <t>q_792393_104_1</t>
  </si>
  <si>
    <t>By this time, Bill Frist had been in the Senate for a decade. An affable man and a brilliant heart-lung transplant surgeon, he had been two years into his second term when Majority Leader Trent Lott had heralded Senator Strom Thurmond on his one hundredth birthday in early December 2002 by saying that if Thurmond's segregationist campaign for the presidency in 1948 had been successful, ``we wouldn't have all these problems today.'' The uproar over Lott's comments had wounded the Majority Leader, and just before Christmas the White House had in effect ordered that Frist would replace Lott and become the new Majority Leader, the first time in Senate history that the President had chosen a Senate party leader.</t>
  </si>
  <si>
    <t>The passage describes powerful actors ("the White House" and "the President") influencing Senate leadership, saying the White House "in effect ordered" that Frist would replace Lott and that it was "the first time in Senate history that the President had chosen a Senate party leader." This could weakly suggest behind-the-scenes coordination or pressure, but it is framed as an overt political intervention rather than secretive collusion against the public. There is no clear claim of multiple actors secretly coordinating to undermine Americans’ interests; it reads more like an unusual exercise of executive influence within party politics. A 4 or 5 would require clearer language about covert plotting or a conspiracy, while a 1 or 2 would ignore the implied pressure embedded in "ordered" and the unprecedented nature of the action.</t>
  </si>
  <si>
    <t>Although the passage involves powerful actors, it does not clearly allege covert coordination or conspiracy; it states that the White House "in effect ordered" a leadership change, which is presented as a direct exertion of influence rather than secret collusion. The text provides no indication that this was done to manipulate events against the American people, only that Lott was "wounded" by controversy and Frist replaced him. Under the EC rubric, collusion should not be inferred from vague power dynamics alone, and here the narrative is about internal party leadership selection. A 3+ would require a clearer implication of hidden coordination among multiple actors, while a 1 would be less fitting because the passage does suggest unusual top-down influence by the President.</t>
  </si>
  <si>
    <t>q_432836_414_2</t>
  </si>
  <si>
    <t>REP. KAPTUR: I would just like to say I'd like to associate myself with the remarks of Mr. LaTourette and say that I think it's an abomination that the automotive task force has not come before this Congress, either chamber. And I would've handled it as we did back in the 1970's with the Chrysler warrants and restructuring. The fact that it's been handled internally is shocking to me as a citizen and a believer in our constitution. And the automotive industry is in the trouble that it's in because of the damage that five major Wall Street banks did to this country and it brought down an industry that has been the lifeblood of the community that I represent. I'm very angry as a member. I'm going everything I can to enlighten what is happening. I think what has been done is outside the authority of the TARP and so I thank Mr. LaTourette for putting those items on the record.</t>
  </si>
  <si>
    <t>The paragraph blames "five major Wall Street banks" for having "did to this country" damage that "brought down an industry," and criticizes the automotive task force for being "handled internally" and "outside the authority of the TARP." This points to powerful actors and suggests improper, behind-the-scenes handling, which could be read as implying coordinated action against public interests. However, it does not clearly allege secret coordination among multiple actors; it reads more like strong criticism of misconduct and lack of transparency than an explicit collusion claim. That makes a 4–5 too strong, while a 1–2 would miss the insinuation created by the focus on internal handling and major banks' role.</t>
  </si>
  <si>
    <t>The speaker condemns the process as "handled internally" and asserts it was "outside the authority of the TARP," while attributing harm to "five major Wall Street banks." But the passage does not explicitly claim these actors secretly coordinated with each other or with government to manipulate events; it mainly alleges wrongdoing, lack of oversight, and possibly illegality. Under the stricter standard, vague references to powerful banks causing damage are not enough to infer collusion without clearer language about conspiracy or covert coordination. Therefore a 3–5 would over-interpret the text, while a 1 would ignore the mention of powerful actors and procedural opacity.</t>
  </si>
  <si>
    <t>q_285333_5_1</t>
  </si>
  <si>
    <t>"Look around. Oil reached an all time-high this week at $78.77 per barrel," Gohmert continued. "China and Venezuela are coordinating to drill off the coast of Florida, Canada is drilling in the Great Lakes and selling us our own gas, and has scrambled to claim Artic territory as their own for the oil that lies beneath it. It may seem ridiculous in the 21st century to stick a flag in the ground and say you own a continent, but at the same time, making our own oil, gas and other natural resources off limits seems even more ludicrous."</t>
  </si>
  <si>
    <t>The passage names multiple powerful actors ("China and Venezuela," "Canada") and uses the language of "coordinating" and "scrambled to claim Artic territory" in a way that could be read as strategic alignment against U.S. interests. However, the coordination described is overt (drilling and territorial claims), not clearly secretive or behind-the-scenes, and it is not framed as a covert plot to manipulate Americans. The main thrust is criticism of U.S. policy making resources "off limits" rather than an explicit claim of a hidden conspiracy. This makes a 4–5 too strong, while a 1–2 is too low because the text does suggest inter-state coordination.</t>
  </si>
  <si>
    <t>Although the paragraph says "China and Venezuela are coordinating," it describes visible actions (drilling, selling gas, claiming territory) rather than secret collusion to undermine the American people. The speaker’s argument centers on energy policy—calling it "ludicrous" to make U.S. resources "off limits"—not on alleging a covert conspiracy. There is no clear claim of hidden motives, clandestine meetings, or manipulation of U.S. public opinion or institutions. Therefore, it mentions powerful actors and coordination but does not clearly imply collusion in the strict, covert sense required for higher scores.</t>
  </si>
  <si>
    <t>q_1620456_1_1</t>
  </si>
  <si>
    <t>"For TikTok to knowingly allow the Chinese Communist Party to access American user data is unacceptable and a complete betrayal of our trust. TikTok has gone on record numerous times claiming that they do not share U.S. user data with the Chinese government, CCP, or any Chinese state-owned entities. We now know that is not the case and cannot be allowed to happen without consequence. House Energy and Commerce Republicans have previously requested that TikTok testify for our committee and will continue to urge that they testify to provide complete and honest answers for Americans. If they continue to refuse to appear before the Committee, then we will be forced to consider compelling their testimony.</t>
  </si>
  <si>
    <t>The paragraph strongly implies covert coordination between powerful actors—TikTok and the Chinese Communist Party—by alleging TikTok "knowingly allow[s] the Chinese Communist Party to access American user data." It frames TikTok’s public denials as deceptive ("gone on record... claiming" they do not share data, followed by "We now know that is not the case"), suggesting hidden behind-the-scenes conduct against Americans’ interests. However, it does not explicitly describe a secret agreement or coordinated plan beyond the access/sharing allegation, so a 5 (explicit assertion of secret collusion) is less fitting. It is more than ambiguous mention of power, making 2–3 too low given the direct accusation of knowingly enabling CCP access.</t>
  </si>
  <si>
    <t>The passage alleges improper data access by a foreign government and suggests TikTok is complicit ("knowingly allow" CCP access), which could indicate collusion, but it does not clearly establish covert coordination or a conspiracy beyond the asserted access. The language focuses on accountability and testimony ("urge that they testify," "consider compelling their testimony") rather than detailing a secret scheme, keeping the collusion implication somewhat inferential. A 4–5 would require clearer claims of secret coordination or an explicit agreement, which are not stated. A 1–2 is too low because the paragraph directly links TikTok’s conduct to the CCP and claims prior denials were false.</t>
  </si>
  <si>
    <t>q_476033_17_1</t>
  </si>
  <si>
    <t>Even worse than the failures and flawed policies I just mentioned, Chairman Bernanke destroyed the independence of the Fed.  He bowed to the political pressures of the Bush and Obama administrations and turned the Fed into an arm of the Treasury.  Walking arm-in-arm with the Treasury, Chairman Bernanke bailed out all the large financial institutions, including many foreign banks.  And he put the printing presses into overdrive to fund the government's spending and hand out cheap money to Wall Street.  Instead of taking that money and lending to consumers and cleaning up their balance sheets, the banks started to pocket record profits and pay out billions of dollars in bonuses.</t>
  </si>
  <si>
    <t>The passage alleges that Chairman Bernanke "bowed to the political pressures of the Bush and Obama administrations" and "turned the Fed into an arm of the Treasury," which suggests coordinated influence between major government actors. Phrases like "walking arm-in-arm with the Treasury" and bailing out "all the large financial institutions" imply an aligned set of actions benefiting powerful institutions, but it is framed more as captured independence and policy favoritism than explicitly secret coordination. There is no clear claim of covert plotting or a hidden agreement, so a 4–5 is less fitting. Still, the repeated depiction of the Fed, Treasury, administrations, and Wall Street acting in concert makes it more than a simple policy critique, so it is stronger than a 1–2.</t>
  </si>
  <si>
    <t>The paragraph criticizes Bernanke for yielding to "political pressures" and for the Fed acting "arm-in-arm with the Treasury," but it does not explicitly claim secretive coordination or a conspiracy. The actions described (bailouts, money printing, cheap money) are presented as policy choices and institutional alignment rather than covert collusion. While it implies undue influence and favoritism toward "Wall Street," it stops short of alleging a hidden agreement among multiple actors. Therefore a 3–5, which requires clearer implication of covert coordination, is less appropriate.</t>
  </si>
  <si>
    <t>q_1217443_1_2</t>
  </si>
  <si>
    <t>"Chinese commercial technology is a vehicle for the Chinese government to spy on United States federal agencies, posing a severe national security threat," said Congressman Conaway. "Allowing Huawei, ZTE, and other related entities access to U.S. government communications would be inviting Chinese surveillance into all aspects of our lives. This legislation falls directly in line with President Trump's policy of putting American national security interests first, a policy I'm proud to support.</t>
  </si>
  <si>
    <t>The passage alleges covert coordination between powerful actors by claiming that "Chinese commercial technology is a vehicle for the Chinese government to spy" and that allowing Huawei and ZTE access would "be inviting Chinese surveillance into all aspects of our lives." This frames Chinese companies as acting in concert with the Chinese government to secretly infiltrate U.S. communications, which is a strong implication of collusion to undermine U.S. public interests and security. It is not a 5 because it does not explicitly describe a secret agreement or coordinated plan among multiple actors beyond the asserted company-as-vehicle relationship, and it is not a 3 because the spying/surveillance language is direct rather than ambiguous. The quote is from Congressman Conaway and is presented approvingly ("a policy I'm proud to support"), so the speaker appears to endorse the claim rather than criticize it.</t>
  </si>
  <si>
    <t>The paragraph suggests a potential covert relationship by stating that Chinese commercial technology is "a vehicle for the Chinese government to spy" and warning of "Chinese surveillance" if Huawei and ZTE gain access. However, it does not provide explicit evidence of secret coordination or a described conspiracy; it could be read as a general national-security risk claim rather than a clear assertion of collusion. Under the EC rubric’s caution against assuming collusion from vague power references, the strongest support is the spying allegation, but it remains somewhat inferential about coordination. A 4 or 5 is less appropriate because the passage does not explicitly state a covert agreement or coordinated scheme, while a 2 is less appropriate because the spying/surveillance framing goes beyond merely mentioning powerful actors.</t>
  </si>
  <si>
    <t>q_1616916_5_1</t>
  </si>
  <si>
    <t>Ensuring that Congress continues to authorize military activity is  not only about guardrailing good democracy, it is also about fiscal  responsibility and integrity. Washington is known for military  contractors lobbying for endless wars to ensure endless profits, even  when our lowest paid servicemembers have to rely on food pantries to  feed themselves and their families. That is a policy choice, and our  bloated Pentagon budget compared to our investments in schools,  healthcare, and jobs at home is a policy choice. Our military footprint  extends across dozens of countries far from public scrutiny and  accountability.</t>
  </si>
  <si>
    <t>The paragraph points to powerful actors—"military contractors"—who "lobby[] for endless wars to ensure endless profits," which can be read as suggesting undue influence over policy. However, it frames this primarily as open political influence and "a policy choice," not as secretive, behind-the-scenes coordination among multiple actors. The mention of activity "far from public scrutiny and accountability" adds a hint of opacity but does not clearly allege covert collusion. A 4 or 5 would require clearer claims of secret coordination to manipulate events, while a 1 or 2 would ignore the implied influence of contractors on war policy.</t>
  </si>
  <si>
    <t>The passage criticizes the influence of "military contractors lobbying" and highlights lack of "public scrutiny and accountability," but lobbying is an overt, legal mechanism rather than covert coordination. It does not explicitly claim that multiple powerful actors are secretly coordinating to undermine the public interest; instead it emphasizes budgeting and authorization as "a policy choice." The language about "endless wars" and "endless profits" suggests profiteering incentives, yet stops short of alleging a conspiracy. A 3+ would require a clearer implication of hidden coordination, while a 1 would be too low because it does allege powerful interests shaping outcomes.</t>
  </si>
  <si>
    <t>q_35688_13_1</t>
  </si>
  <si>
    <t>The majority of my colleagues on this side of the aisle just voted against an extension of the unemployment benefits for Americans who remain unemployed and haven't profited by this reemerging and strengthening economy. My God, we won't give them an extension of their unemployment benefits. But if the ethanol people of Archer Daniels Midland need it, by God, we will give it to them. Mr. President, $170 billion in tax credits but no extension of unemployment benefits for people who have been out of work, it is a remarkable commentary.</t>
  </si>
  <si>
    <t>The paragraph contrasts denying unemployment benefit extensions with granting “$170 billion in tax credits” to “the ethanol people of Archer Daniels Midland,” implying favoritism toward a powerful corporate actor. However, it does not clearly allege secret coordination among multiple powerful actors; it reads more like a critique of policy priorities and influence than a claim of covert collusion. The rhetorical “by God, we will give it to them” suggests undue preference but not behind-the-scenes conspiracy. A 4 or 5 would require clearer language about coordinated, secret action, while a 1 or 2 would miss the implied special treatment of a powerful interest.</t>
  </si>
  <si>
    <t>The passage mentions a powerful company (Archer Daniels Midland) and criticizes Congress for providing large tax credits while refusing unemployment benefit extensions. But it does not explicitly suggest covert coordination, secrecy, or a conspiracy; it is framed as an open legislative choice (“just voted against,” “we will give it to them”). Under the EC rubric’s caution against inferring collusion from vague power references, this is better read as an accusation of favoritism or lobbying influence rather than collusion. A 3+ would require clearer hints of hidden, coordinated manipulation beyond the public vote.</t>
  </si>
  <si>
    <t>q_434309_5_1</t>
  </si>
  <si>
    <t>Yet with the results of the recent election, there was no chance for Iranian citizens to participate in democracy. On June 12, 2009 Mahmoud Ahmadinejad was ostensibly re-elected to his second term as President, as a result of the tenth Presidential elections in Iran, held and calculated on June 13, 2009. Subject to official results released by Iran's election headquarters, out of a total of 39,165,191 ballots cast in the presidential election, Ahmadinejad allegedly won 24,527,516 votes, which accounts for approximately 62.6 percent of the votes, while his opponent and former Prime Minister of Iran Mir-Hossein Mousavi purportedly secured only 13,216,411 (37.4 percent) of the votes. Supreme Leader Ali Khamenei announced that he envisions Ahmadinejad as president in the next five years, a comment interpreted as indicating support for Ahmadinejad's reelection.</t>
  </si>
  <si>
    <t>The paragraph discusses powerful actors in Iran (e.g., Mahmoud Ahmadinejad and Supreme Leader Ali Khamenei) and uses skeptical language about the election outcome, such as "ostensibly re-elected," "allegedly won," and "purportedly secured," which can hint at manipulation. However, it does not clearly describe secret coordination among multiple powerful actors; it mainly reports official results and notes Khamenei’s supportive comment. The line that Khamenei "envisions Ahmadinejad as president" could be read as suggestive of behind-the-scenes influence, but it remains an interpretation rather than an explicit claim of collusion. A higher score would require a clearer assertion of covert coordination to rig the election, while a lower score would fit if the paragraph lacked these insinuating qualifiers.</t>
  </si>
  <si>
    <t>While the passage questions the legitimacy of the election through qualifiers like "ostensibly," "allegedly," and "purportedly," it does not explicitly allege covert coordination or a conspiracy among powerful actors. It describes official vote totals and then notes that Khamenei’s comment was "interpreted as indicating support," which is open and public rather than secretive collusion. Under the EC rubric’s caution against inferring collusion from vague power references, this reads more like skepticism about fairness than a claim of coordinated plotting. A score of 3+ would require clearer language indicating hidden coordination to manipulate the election, and a 1 would be less appropriate because the text does imply doubt about the official narrative.</t>
  </si>
  <si>
    <t>q_1190695_3_1</t>
  </si>
  <si>
    <t>"I'm ready and eager to work with my Republican colleagues on a bipartisan plan to improve our health care system -- but in an open process that is guided by the people we represent. I've heard from families all across our district that they need lower premiums, lower deductibles, cheaper prescription drugs, and more options for care. Like the House bill, the Senate bill accomplishes none of these things. It's unsurprising that such a secretive process produced such a cruel result."</t>
  </si>
  <si>
    <t>The paragraph criticizes a "secretive process" behind the Senate health care bill and contrasts it with an "open process" guided by constituents, which can weakly suggest behind-the-scenes coordination among powerful actors. However, it does not explicitly claim multiple powerful actors are secretly coordinating against the public; it mainly condemns the lack of transparency and the policy outcome as "cruel." The language implies something was done out of public view, but it stops short of alleging a conspiracy or collusion. A higher score would require clearer claims of coordinated manipulation, while a lower score would fit if it were purely policy critique without the emphasis on secrecy.</t>
  </si>
  <si>
    <t>The passage mentions a "secretive process" and criticizes the Senate bill, but it does not explicitly allege covert coordination among powerful actors to undermine the public interest. The speaker frames the issue as a non-transparent legislative process rather than a conspiracy, and there is no claim of hidden motives or collusion beyond normal partisan lawmaking. Because the implication of collusion is indirect and not clearly stated, it fits better as criticism of procedure than an accusation of secret coordination. A score of 3+ would require a clearer suggestion that actors were working together in secret to manipulate outcomes.</t>
  </si>
  <si>
    <t>q_1340377_7_1</t>
  </si>
  <si>
    <t>"China is the world's largest drug dealer. For years, the Chinese government has allowed fentanyl and other synthetic opioids to pour into the United States, killing tens of thousands of Americans," Senator Cotton said. "Although China has fulfilled a promise to the president by formally banning all forms of fentanyl, we have to make sure they keep their word. Our bipartisan bill, now in both houses of Congress, will give law enforcement and intelligence agencies the tools they need to apply maximum pressure to fentanyl producers, traffickers, cartels, and other criminals who are funneling this poison across our borders and into our communities."</t>
  </si>
  <si>
    <t>The passage quotes Senator Cotton alleging that "the Chinese government has allowed fentanyl and other synthetic opioids to pour into the United States," which could be read as implying intentional, behind-the-scenes tolerance that benefits traffickers. It also references multiple powerful actors (the Chinese government, "fentanyl producers, traffickers, cartels") but does not clearly describe secret coordination among them, focusing instead on enforcement tools and "apply maximum pressure." Because the language centers on allowing and funneling rather than explicit covert collaboration, the collusion implication is present but ambiguous. A higher score would require a clearer claim of coordinated conspiracy, while a lower score would fit if it were purely about crime without attributing permissive intent to a government.</t>
  </si>
  <si>
    <t>The paragraph discusses powerful actors ("the Chinese government," "traffickers, cartels") and a policy response, but it does not explicitly claim covert coordination or a conspiracy among them. The key allegation is that China "has allowed" drugs to enter, which can indicate negligence or permissiveness rather than secret collusion. It emphasizes verifying China "keep their word" and giving agencies tools to pressure criminals, not exposing a coordinated plot. Under the stricter EC standard, the absence of clear hidden coordination makes a higher score less appropriate, while a 1 would be too low because it does attribute responsibility to a government actor.</t>
  </si>
  <si>
    <t>q_158309_14_1</t>
  </si>
  <si>
    <t>And I think it is also important for the American people to pay very close attention, and I do mean very close attention, because if the 30-something Working Group has anything to do with it, Mr. Speaker, I mean we want to reveal all of the secrets that may be held in the dark halls of Congress that may have a reverse effect on what the American people have asked for out of its government.</t>
  </si>
  <si>
    <t>The paragraph urges Americans to "pay very close attention" because a "30-something Working Group" wants to "reveal all of the secrets" in the "dark halls of Congress," which strongly implies hidden, behind-the-scenes activity by powerful insiders. The reference to "secrets" and "dark halls" suggests covert coordination or concealment that could undermine what "the American people have asked for out of its government." While it does not explicitly state that multiple actors are coordinating together against the public, the rhetoric of secrecy and institutional concealment makes the collusion implication strong. A 5 is less appropriate because the speaker never directly asserts a coordinated conspiracy; a 3 is less appropriate because the language is more than merely ambiguous.</t>
  </si>
  <si>
    <t>The passage references potential "secrets" in the "dark halls of Congress" and warns of a "reverse effect" on what the public wants, which could be read as hinting at hidden maneuvering by powerful actors. However, it does not clearly describe covert coordination among multiple powerful actors, and the "30-something Working Group" is framed as trying to reveal secrets rather than participate in them. Under the EC rubric’s caution against assuming collusion from vague power references, the implication remains suggestive but not definitive. A 4 or 5 is less appropriate because there is no explicit claim of secret coordination; a 2 is less appropriate because the secrecy framing goes beyond merely mentioning powerful actors.</t>
  </si>
  <si>
    <t>q_1644119_71_1</t>
  </si>
  <si>
    <t>Where is that story, Washington Post, New York Times? You won't write  it. You never write it. You canceled these twice.</t>
  </si>
  <si>
    <t>The passage targets powerful media institutions ("Washington Post, New York Times") and accuses them of coordinated suppression, implying a shared pattern: "You won't write it. You never write it." The line "You canceled these twice" suggests deliberate gatekeeping and could be read as behind-the-scenes coordination to block coverage, but it does not explicitly describe a secret agreement or name multiple actors working together. Because the claim is more about bias or refusal to cover a story than a clearly stated covert conspiracy, a 4 or 5 is not warranted. It goes beyond a simple mention of powerful actors, so a 1 or 2 is less fitting.</t>
  </si>
  <si>
    <t>The speaker criticizes major newspapers ("Washington Post, New York Times") for not covering a story ("You won't write it") and for "cancel[ing]" something, which indicates perceived media bias or censorship. However, the paragraph does not clearly assert covert coordination or a secret pact between these actors; it could just be rhetorical blame directed at each outlet individually. Under the EC rubric, we should not infer collusion from vague claims, and the text lacks explicit language about conspiracy or behind-the-scenes planning. Therefore a 3+ would overread the implication, while a 1 would ignore that powerful actors are being accused of suppressing information.</t>
  </si>
  <si>
    <t>q_332159_6_1</t>
  </si>
  <si>
    <t>For example, many of us have called on the Chinese government to open up a real ongoing dialogue and process with the Dalai Lama; to lift the oppressive measures that really undermine the cultural and religious rights of Tibetans; to make it clear that they will support the international efforts to end genocide in Sudan instead of behind the scenes supporting the Sudanese government and kind of dragging the feet of the U.N.</t>
  </si>
  <si>
    <t>The passage alleges covert coordination by a powerful actor, claiming China is "behind the scenes supporting the Sudanese government" while publicly being urged to support "international efforts to end genocide in Sudan." The phrase "behind the scenes" is a clear cue of secrecy and implies intentional manipulation of international processes, reinforced by "dragging the feet of the U.N." While it does not name multiple powerful actors coordinating together (it focuses mainly on the Chinese government), it still strongly suggests clandestine action undermining public interests. A 5 is less appropriate because it does not explicitly assert a coordinated conspiracy among multiple powerful actors; a 3 is too low because the covert implication is direct rather than ambiguous.</t>
  </si>
  <si>
    <t>The speaker suggests secretive undermining of public goals by a powerful actor by stating China is "behind the scenes supporting the Sudanese government" and "dragging the feet of the U.N." This goes beyond mere criticism of policy and implies covert behavior intended to obstruct "international efforts to end genocide in Sudan." The claim is not framed as a quote from an opposing-party figure, so it reads as the speaker's own assertion. A 5 is not warranted because the passage does not clearly describe a broader multi-actor collusive scheme, but a 2–3 would understate the explicit secrecy implied by "behind the scenes."</t>
  </si>
  <si>
    <t>q_417227_833_1</t>
  </si>
  <si>
    <t>I understand in November of '08, a spokesman for the Federal Reserve, Calvin Mitchell, stated that the Federal Reserve, the Treasury and the New York attorney general all knew about the AIG bonuses in the fall of 2008. Do you have any knowledge of that?</t>
  </si>
  <si>
    <t>The paragraph references multiple powerful institutions—the Federal Reserve, the Treasury, and the New York attorney general—and notes they "all knew about the AIG bonuses," which could weakly suggest coordinated awareness. However, it is framed as a question (“Do you have any knowledge of that?”) and attributes the claim to “a spokesman for the Federal Reserve,” rather than asserting a secret plan or joint manipulation. There is no explicit allegation of covert coordination against the public, only shared knowledge. A lower score (1–2) is less fitting because it does invoke powerful actors and a potentially suggestive claim, while a higher score (4–5) is not supported because the passage does not claim secret collusion or intent to undermine public interests.</t>
  </si>
  <si>
    <t>The passage mentions powerful actors (the Federal Reserve, the Treasury, and the New York attorney general) but does not itself assert collusion; it reports what a Fed spokesman "stated" and then asks for confirmation. Under the EC rubric, we should not infer covert coordination from mere shared knowledge, and the text lacks language about secrecy, conspiracy, or manipulating events. The question format and attribution make the implication of collusion ambiguous and not clearly endorsed by the speaker. A score of 1 is less appropriate because powerful actors are explicitly referenced, while 3–5 would overread the passage by treating awareness as evidence of secret coordination.</t>
  </si>
  <si>
    <t>q_59249_32_1</t>
  </si>
  <si>
    <t>Mr. MEEK of Florida.  So for us to have an event that has not happened in 30-some-odds years, or I do not see anywhere in U.S. history that this has happened, it is documented the way that it is documented, for that to happen and for us to put a two-star, as much respect that we have for him, to investigate the little guys and gals that were a part of this bad behavior, it sets forth a culture that it is okay. If you are in the Pentagon, you are okay. You are a protected class. Do not worry. No one will look into you or no one will call you down to the Hill and ask you some tough questions, because if they do, they will be chastised by members of the Committee on Armed Services. Unfortunately, from the majority.</t>
  </si>
  <si>
    <t>The passage alleges a protective dynamic for Pentagon officials, saying "If you are in the Pentagon, you are okay. You are a protected class" and that "No one will look into you" while investigators focus on "the little guys and gals." It also suggests pressure from powerful actors, claiming members who ask tough questions will be "chastised by members of the Committee on Armed Services," implying some behind-the-scenes enforcement of deference. However, it does not clearly describe secret coordination among multiple powerful actors to manipulate events; it reads more like institutional bias and intimidation than explicit collusion. A higher score (4-5) would require clearer claims of covert, coordinated action, while a lower score (1-2) would fit if it were merely criticism without any implied protective enforcement.</t>
  </si>
  <si>
    <t>The speaker criticizes unequal accountability, arguing that a two-star is used to investigate "the little guys and gals" while Pentagon insiders are treated as "a protected class." Although it mentions that questioners could be "chastised by members of the Committee on Armed Services," this is framed as open political pressure rather than secretive coordination to undermine the public interest. The passage does not explicitly claim a covert conspiracy or coordinated scheme among multiple powerful actors, so the implication of collusion is limited. A score of 3+ would require clearer language indicating hidden, coordinated action, while 1 would be less fitting because the text does allege protection by powerful institutions.</t>
  </si>
  <si>
    <t>q_1016969_12_1</t>
  </si>
  <si>
    <t>I ask all of my colleagues to vote for H. Res. 411 and demand that the President show us the secret side deals.</t>
  </si>
  <si>
    <t>The passage implies covert coordination by referring to the President’s “secret side deals,” which suggests hidden arrangements that could undermine public interests. The call to “demand that the President show us” frames these deals as intentionally concealed, a common cue for suspected behind-the-scenes manipulation. While it does not name multiple powerful actors explicitly, the phrase “side deals” strongly implies improper, nontransparent coordination. A 5 is less appropriate because it does not explicitly assert a coordinated conspiracy among multiple actors or specify who the other parties are; a 3 would be too low because the secrecy and “side deals” language is a strong collusion cue rather than merely ambiguous.</t>
  </si>
  <si>
    <t>The passage raises suspicion by urging colleagues to demand disclosure of the President’s “secret side deals,” which could indicate hidden coordination. However, it does not clearly identify other powerful actors involved or explicitly claim a conspiracy to manipulate events against the public. The language is accusatory but still somewhat nonspecific about the nature and participants of the alleged deals. A 4 or 5 is less appropriate because the paragraph stops short of asserting definite collusion or naming coordinated actors; a 2 is less appropriate because the emphasis on “secret” arrangements goes beyond merely mentioning a powerful actor without implying covert conduct.</t>
  </si>
  <si>
    <t>q_367568_57_1</t>
  </si>
  <si>
    <t>And so, you know, they'll play like the election was fair and all this -- to justify their behavior. And I think people like yourself ought to be speaking out that the elections, unless certain conditions are met, can't possibly be fair.</t>
  </si>
  <si>
    <t>The passage suggests that unnamed actors (“they’ll play like the election was fair”) are presenting a public narrative to “justify their behavior,” which hints at coordinated messaging or manipulation. However, it never identifies who “they” are, nor does it explicitly describe secret coordination among multiple powerful actors. The claim that elections “can’t possibly be fair” unless “certain conditions are met” implies wrongdoing or structural unfairness, but the mechanism is left vague. This makes a stronger collusion score (4–5) less appropriate, while a 1–2 would miss the insinuation that others are deliberately portraying the election as fair for self-serving reasons.</t>
  </si>
  <si>
    <t>The speaker alleges that some group (“they”) will act as if “the election was fair” to “justify their behavior,” but this is not clearly framed as covert coordination by powerful actors. The language is ambiguous and could refer to ordinary political spin rather than a secret conspiracy, and it provides no concrete reference to institutions, elites, or behind-the-scenes planning. The statement about elections not being fair “unless certain conditions are met” is a conditional critique, not an explicit claim of collusion. Therefore, a 3–5 is not warranted without clearer evidence of hidden coordination, while a 1 is too low because the passage does imply intentional narrative-shaping.</t>
  </si>
  <si>
    <t>q_1348422_8_1</t>
  </si>
  <si>
    <t>The CREATES Act:  Currently, certain brand-name manufacturers use tactics to withhold or delay generic manufacturers getting from them the brand drug samples they need to develop their generic products.  This bill establishes a process by which generic manufacturers are able to obtain sufficient quantities of the brand drug samples, thereby blocking these delaying tactics.The Protecting Consumer Access to Generic Drugs Act:  Currently, brand-name drug manufacturers can enter into a "pay-for-delay" agreement in which the brand-name manufacturer pays the generic manufacturer to delay bringing a generic equivalent to market, significantly hurting consumers.  This bill makes these "pay-for-delay" agreements illegal.The BLOCKING Act:  Currently, the first generic applicant to FDA is granted 180 days of market exclusivity, but some generics then fail to move the product to market, called "parking" -- thereby blocking other generics from applying to FDA.  This bill allows generics to get to market earlier by changing the rules on "parking."The SAVE Act: This bipartisan bill appropriates $200 million to assist interested states in creating their own state-based marketplaces.  State-based marketplaces are outperforming the Federal marketplace, achieving lower premiums and higher enrollment.  This bill empowers states to implement new approaches that lower costs and expand coverage for American families, thereby improving our health care system.The MORE Health Education Act &amp; The ENROLL Act:  These bills, containing provisions similar to provisions in the bipartisan Alexander-Murray proposal put forward in the Senate in the last Congress, restore critical funding for marketplace consumer outreach and enrollment education activities, as well as critical funding for the Navigator program, both of which the Administration has slashed.  CBO estimates this funding will result in about 500,000 additional enrollees in nongroup quality, affordable coverage and Medicaid each year over the next 10 years.Rescinding the Administration's Devastating Junk Plan Rule:  This bill reinforces the protections for people with pre-existing conditions by revoking the Administration's rule that promotes the sale of junk plans, which discriminate against people with pre-existing conditions and do not cover essential benefits.</t>
  </si>
  <si>
    <t>The paragraph describes coordinated anti-competitive behavior in the pharmaceutical market, especially the "pay-for-delay" agreements where a brand-name manufacturer "pays the generic manufacturer to delay" entry, which implies two powerful corporate actors working together to manipulate market outcomes. It also references tactics to "withhold or delay" drug samples and "parking" exclusivity to block competitors, suggesting strategic behavior that can be read as industry actors undermining consumer interests. However, it does not frame this as a secret conspiracy against "the American people" broadly, nor does it allege a wider behind-the-scenes plot involving government; it is presented as policy justification for reforms. A 4 or 5 is less appropriate because the passage does not claim covert, broad collusion among multiple powerful institutions, while a 1 or 2 is less appropriate because it explicitly describes agreements and tactics that function as collusive coordination harming consumers.</t>
  </si>
  <si>
    <t>The passage focuses on policy problems and legislative fixes, describing market practices like "pay-for-delay" agreements and "withhold or delay" tactics, but it does not emphasize secrecy or a conspiracy-like coordination against the public. While "pay-for-delay" is an agreement between firms, it is discussed as a known, regulated anti-competitive practice rather than covert collusion by powerful actors in a political sense. The references to the Administration "slashed" funding and promoted "junk plans" are criticisms of policy choices, not claims of hidden coordination. A 3+ is less appropriate because the paragraph does not clearly suggest covert, behind-the-scenes collusion, while a 1 is less appropriate because it does mention powerful actors (brand-name manufacturers, the Administration) and coordinated agreements that harm consumers.</t>
  </si>
  <si>
    <t>q_33433_29_1</t>
  </si>
  <si>
    <t>When the White House wanted this provision struck in conference, an agreement was arrived at by conferees to cover the 20 percent of multi-employer plans most in need. The White House, however, held up these important negotiations and insisted on virtually eliminating multi-employer relief.</t>
  </si>
  <si>
    <t>The passage describes negotiations where "the White House wanted this provision struck" and later "held up these important negotiations and insisted" on a different outcome, which points to a powerful actor influencing the process. However, it does not clearly allege secretive coordination among multiple powerful actors; it reads more like hardball bargaining or obstruction by a single institution. The phrase "an agreement was arrived at by conferees" suggests normal legislative negotiation rather than covert collusion. A higher score would require explicit claims of behind-the-scenes coordination or conspiracy against the public, while a lower score would fit if it merely described policy disagreement without any insinuation of manipulation.</t>
  </si>
  <si>
    <t>The paragraph mentions a powerful actor ("the White House") affecting conference negotiations, but it does not explicitly suggest covert coordination with other powerful actors. The actions described—wanting a provision struck, holding up negotiations, and insisting on changes—can be explained as open political leverage rather than secret collusion. There is no language about hidden motives, backroom deals, or coordinated conspiracy beyond standard conference dynamics. A higher score would require clearer indications of secretive coordination, while a score of 1 would be less fitting because the passage does allege active interference by a powerful entity.</t>
  </si>
  <si>
    <t>q_309774_34_1</t>
  </si>
  <si>
    <t>Look at our trade deficit: $800 billion, almost $3 billion a day. Look at our manufacturing job losses: 200,000 in my State alone for the last 5 years. Look at wage stagnation: The middle class no longer gets a raise in many cases. Look at imported product recalls: Week after week, sometimes day after day, the Consumer Product Safety Commission says take that off the market, we can't keep selling that. Look at forced labor and child labor and slave labor: We know that is going on in China. We say: Well, their products may be a little cheaper. It helps us with profits. Companies are doing pretty well. We will accept that stuff.</t>
  </si>
  <si>
    <t>The paragraph criticizes economic outcomes and corporate incentives, implying that "companies" tolerate harmful practices because "their products may be a little cheaper" and "It helps us with profits." This could weakly suggest a shared, self-interested alignment between business and policymakers ("We will accept that stuff"), but it does not clearly describe secret, behind-the-scenes coordination among multiple powerful actors. There is no explicit claim of a covert scheme or conspiracy—more a public, incentive-driven tolerance of exploitation and unsafe imports. A 4 or 5 would require clearer allegations of coordinated manipulation, while a 1 or 2 would miss the insinuation that powerful actors knowingly accept these harms for profit.</t>
  </si>
  <si>
    <t>The passage discusses trade deficits, job losses, wage stagnation, recalls, and labor abuses, and it notes that "Companies are doing pretty well" and that "We will accept that stuff" because it "helps us with profits." However, it does not explicitly suggest covert coordination or a secret agreement among powerful actors; it reads as a critique of incentives and policy choices rather than collusion. The language points to tolerance/complicity, not a hidden conspiracy to manipulate events. A 3+ would require clearer implication of behind-the-scenes coordination, while a 1 would ignore that powerful actors (companies) are mentioned as benefiting.</t>
  </si>
  <si>
    <t>q_186835_18_1</t>
  </si>
  <si>
    <t>Once again, the administration and its apologists tell us that this activity was legal and the leak helps the terrorists. How do we know this? Because they say so and tell us to trust them.</t>
  </si>
  <si>
    <t>The paragraph points to “the administration and its apologists” as powerful actors shaping a narrative and asks skeptically, “How do we know this? Because they say so and tell us to trust them.” This implies potential coordinated messaging or spin, but it does not clearly allege secret, behind-the-scenes coordination among multiple actors to undermine the public. The language is accusatory and distrustful, yet it stays at the level of questioning credibility rather than asserting a covert plot. A 4–5 would require clearer claims of hidden coordination or conspiracy, while a 1–2 would fit if it were merely disagreement without insinuating a possibly orchestrated line.</t>
  </si>
  <si>
    <t>The passage criticizes “the administration and its apologists” for asserting legality and demanding trust, but it does not explicitly claim covert coordination or a conspiracy against the public. The skepticism (“Because they say so”) targets credibility and messaging rather than alleging secret collusion. Under the EC rubric’s caution against inferring collusion from vague power references, this reads as political critique rather than a clear implication of hidden coordination. A 3+ would need more direct संकेत of behind-the-scenes planning, while a 1 would be less fitting because it does gesture at a coordinated defense by “apologists,” even if not secretive.</t>
  </si>
  <si>
    <t>q_1257324_32_1</t>
  </si>
  <si>
    <t>There's just so much that they're trying to shift the focus from and I'm not going to let them do it.</t>
  </si>
  <si>
    <t>The passage refers to an unspecified “they” who are “trying to shift the focus,” which could hint at coordinated messaging or agenda-setting by powerful actors, but it never identifies who “they” are or describes any secretive coordination. The language suggests an attempt to manipulate attention (“shift the focus from”), yet it remains ambiguous whether this is collusion or simply political opposition/spin. Because there is no explicit claim of behind-the-scenes cooperation or conspiracy, a 4 or 5 is not warranted. At the same time, the adversarial framing goes beyond a neutral statement, making a 1 or 2 less fitting than a weak/ambiguous implication score.</t>
  </si>
  <si>
    <t>The statement mentions an opposing group (“they”) and alleges an attempt to redirect attention (“trying to shift the focus”), but it does not explicitly suggest covert coordination among multiple powerful actors. Under the EC rubric’s caution against assuming collusion from vague power references, this reads more like a general complaint about political distraction or messaging rather than a conspiracy. The lack of detail about who is involved, how they are coordinating, or any secrecy makes a 3–5 inappropriate. It is still more than a purely neutral statement, so a 2 fits better than a 1.</t>
  </si>
  <si>
    <t>q_312007_20_1</t>
  </si>
  <si>
    <t>The important part is outrage. In a country of 60 million people, they're spending $400 million to contact every household twice, to do consumer surveys, and they do it town-by-town, region-by- region, handouts, public opinion -- not public opinion, but surveys to see how people react to them and all.</t>
  </si>
  <si>
    <t>The passage describes an organized, large-scale effort to influence the public—"they're spending $400 million to contact every household twice" and using "consumer surveys" to see "how people react." This could be read as powerful actors strategically shaping messaging, but it does not clearly indicate secretive coordination among multiple powerful parties or an explicit plot against the public. The language is suggestive of manipulation ("The important part is outrage") yet remains ambiguous about who "they" are and whether any covert collusion is occurring. A higher score would require clearer claims of behind-the-scenes coordination or conspiracy, while a lower score would fit if it were framed as routine polling without the insinuation of engineered outrage.</t>
  </si>
  <si>
    <t>The paragraph points to a well-funded campaign using surveys and repeated household contact, but it does not explicitly allege covert coordination or a conspiracy against the American people. Phrases like "consumer surveys" and checking "how people react" can describe standard political or marketing research rather than collusion. The referent "they" is unspecified, and there is no direct claim that multiple powerful actors are secretly working together. Because the passage implies influence efforts but not clear hidden coordination, a 2 is more appropriate than a 3+, while a 1 would ignore the mention of large-scale, potentially manipulative activity.</t>
  </si>
  <si>
    <t>q_1685625_5_1</t>
  </si>
  <si>
    <t>When Paris first met with me last Congress and shared her story about  being in institutional care as a child, I will be quite honest, I was  horrified. I believe the words out of my mouth were: This sounds like  it is being run by the cartel.</t>
  </si>
  <si>
    <t>The paragraph suggests something like collusion by describing institutional care as "being run by the cartel," which is language commonly associated with organized, coordinated wrongdoing. However, it is presented as the speaker’s immediate reaction to a story (“I was horrified… the words out of my mouth were”), not as a concrete claim of secret coordination by identifiable powerful actors. The passage does not specify who is coordinating or how, making the implication ambiguous rather than strong. A higher score would require clearer assertion of behind-the-scenes coordination by specific institutions or officials, while a lower score would fit if it lacked the "cartel" framing altogether.</t>
  </si>
  <si>
    <t>The speaker uses the phrase "run by the cartel," but this functions more as a metaphor for dysfunction or corruption than an explicit allegation of covert coordination among powerful actors. There are no named actors, no description of secretive planning, and no direct claim that multiple powerful entities are coordinating against the public interest. Under the EC rubric’s caution against assuming collusion from vague power references, the evidence for collusion is weak. A 3+ would require clearer indication of hidden coordination rather than a rhetorical comparison.</t>
  </si>
  <si>
    <t>q_105310_9_1</t>
  </si>
  <si>
    <t>This is just horrendous. The U.N. repeatedly and reportedly quashed an investigation into involvement of U.N. police in enslavement of Eastern European women in Bosnian brothels.</t>
  </si>
  <si>
    <t>The passage alleges that the U.N. "repeatedly and reportedly quashed an investigation" into misconduct, which implies some powerful institutional actors acted to suppress scrutiny. However, it does not clearly describe secret coordination among multiple powerful actors; it could be a single organization’s cover-up rather than collusion. The language is accusatory and suggests concealment, but it is not explicit about a coordinated conspiracy against the American people. A 4–5 would require clearer claims of behind-the-scenes coordination or explicit collusion, while a 1–2 would fit if it merely criticized the U.N. without implying suppression of investigation.</t>
  </si>
  <si>
    <t>The statement that the U.N. "quashed an investigation" suggests intentional suppression by a powerful body, which can weakly imply covert action. Still, it does not explicitly claim a conspiracy or secret coordination among multiple actors, and it is framed as "reportedly," adding ambiguity. There is no direct claim that multiple powerful parties coordinated to manipulate events, only that an investigation was stopped. Therefore 3 fits better than 4–5, while 1–2 would understate the implied concealment in "quashed an investigation."</t>
  </si>
  <si>
    <t>q_671509_10_1</t>
  </si>
  <si>
    <t>FMR. SEN. SANTORUM:  Well, that's pretty amazing if you think about it, David.  I mean, this is, this is a state that I'm sure Governor Romney getting into this race thought he would have to spend $20 and, and easily cruise to victory in Michigan.  And you know, here we are being badly outspent again by, by his super PAC and his, and his big, big dollar friends and we're hanging in there, holding our own.  We've been under assault now for about three weeks. Of course, you know, that's going to drive up, drive up our negatives a little bit.  But you know what's holding on is the positive message that we've been out there talking about what we're going to do to create jobs here in the state of Michigan, focus in on the manufacturing sector of the economy, cutting the corporate tax for all other corporations in half.  Much more dramatic, much more dynamic ideas to try to get this economy going than Governor Romney's sort of warmed-over pablum that he gave at, at, at Ford Field the other day, with nothing new, ideas that are timid, ideas that are institutional, insider, being designed by a whole bunch of Washington lobbyists who are basically running his campaign.  And it's not inspiring anybody.  We are, in spite of the attacks, in spite of the negativity, our positive message of hope, particularly for those who have been left behind in this economy, is really resonating here in Michigan and across the country.</t>
  </si>
  <si>
    <t>The passage alleges that Romney’s campaign is being shaped by coordinated, self-interested elites: Santorum says Romney’s ideas are "insider" and "being designed by a whole bunch of Washington lobbyists who are basically running his campaign." That language implies behind-the-scenes influence by powerful actors (big-dollar donors, a super PAC, and lobbyists) working together to steer policy and messaging, which fits a strong implication of collusion. It stops short of explicitly claiming a secret conspiracy against "the American people" in so many words, which is why a 5 is less appropriate. A 3 would be too low because the claim that lobbyists are "basically running" the campaign is more than a vague reference to influence; it suggests coordinated control.</t>
  </si>
  <si>
    <t>Santorum points to powerful actors—"his super PAC," "big, big dollar friends," and "Washington lobbyists"—and claims they are "basically running his campaign," which could suggest coordinated influence. However, he frames this primarily as standard political spending and insider influence rather than clearly describing covert, secret coordination to undermine the public interest. The passage criticizes Romney’s policy ideas as "insider" and lobbyist-designed, but it does not explicitly assert a hidden conspiracy or a deliberate plot against Americans, making a 4 or 5 too strong under the stricter standard. A 2 would be too low because the lobbyists "running" the campaign is a stronger cue than merely mentioning wealthy supporters.</t>
  </si>
  <si>
    <t>q_1335654_4_1</t>
  </si>
  <si>
    <t>Companies use that information to sort and commodify us, too.  Inferences are drawn and we are labelled as a Democrat or Republican, white or Latino, gay or straight, a pregnant teen, a grieving parent, a cancer survivor, and so much more.  This is all done without our knowledge.</t>
  </si>
  <si>
    <t>The paragraph describes companies collecting data and using it to "sort and commodify us" by drawing "inferences" and labeling people by sensitive traits "without our knowledge." This implies a potentially coordinated, behind-the-scenes system of surveillance and profiling that undermines public interests, but it does not clearly allege secret coordination among multiple powerful actors. The language points more to unilateral corporate practices than explicit collusion, making the implication of collusion ambiguous. A higher score would require claims of companies working together or with government in secret, while a lower score would fit if it were merely describing data use without the covert/without-knowledge framing.</t>
  </si>
  <si>
    <t>The passage mentions powerful actors ("Companies") and criticizes their use of personal information to label people "without our knowledge," but it does not explicitly suggest covert coordination among multiple actors. It reads as a description of how firms individually use data to profile and monetize users rather than a claim of conspiracy or collusion. Because there is no clear allegation of companies acting together or secretly coordinating to manipulate events, a collusion-focused interpretation is weak. A score of 1 would ignore the implied secrecy in "without our knowledge," while higher scores would require explicit claims of coordinated action.</t>
  </si>
  <si>
    <t>q_1381942_29_1</t>
  </si>
  <si>
    <t>The White House is actually directing ICE, from what we understand, to conduct more of those raids. What does that tell you?</t>
  </si>
  <si>
    <t>The passage alleges that "The White House is actually directing ICE" to "conduct more of those raids," which points to action by powerful actors (the White House and a federal agency). However, it does not clearly describe secretive, behind-the-scenes coordination among multiple powerful actors; it reads more like a straightforward chain of command. The rhetorical question "What does that tell you?" invites suspicion, making a weak-to-ambiguous implication of something improper, but it stops short of asserting a covert conspiracy. A 4 or 5 would require clearer claims of hidden coordination or acting against the public through secrecy, while a 1–2 would fit if it were merely descriptive without the insinuating prompt.</t>
  </si>
  <si>
    <t>The paragraph mentions powerful actors ("The White House" and "ICE") and claims the White House is "directing" raids, but that is not inherently collusion; it can be ordinary executive direction. It does not explicitly suggest covert coordination, secrecy, or a conspiracy among multiple actors, and the phrase "from what we understand" signals uncertainty rather than evidence of secret plotting. The question "What does that tell you?" adds insinuation, but it still does not clearly imply hidden coordination as required for higher scores under this rubric. A 3+ would need a clearer suggestion of covert, coordinated manipulation beyond normal governance.</t>
  </si>
  <si>
    <t>q_391305_7_2</t>
  </si>
  <si>
    <t>Independent</t>
  </si>
  <si>
    <t>Referring to the massive amounts of money that Franken and Coleman have received from special interest groups to mount their campaigns, Barkley had this to say:  "Bribing is illegal in this country except for members of Congress.''</t>
  </si>
  <si>
    <t>The passage points to “massive amounts of money” from “special interest groups” going to Franken and Coleman and then adds the line, “Bribing is illegal in this country except for members of Congress,” which frames campaign contributions as corrupt influence. This suggests powerful actors (special interests and members of Congress) and implies an improper relationship, but it does not clearly describe secret coordination among multiple powerful actors. The insinuation is more about legalized bribery than an explicit behind-the-scenes conspiracy. A 4 or 5 would require clearer claims of covert coordination to manipulate outcomes, while a 2 would understate the bribery implication.</t>
  </si>
  <si>
    <t>The paragraph criticizes campaign funding from “special interest groups” and uses the provocative claim that for Congress it is effectively “bribing,” but it does not explicitly allege covert, secret coordination among multiple powerful actors. It reads as a condemnation of systemic corruption or undue influence rather than a claim of a conspiracy to manipulate events behind the scenes. Because the language does not clearly assert hidden coordination, a 3+ is less appropriate under this stricter rubric. A 1 would be too low since it does suggest improper influence by powerful interests even if not collusion.</t>
  </si>
  <si>
    <t>q_414600_25_1</t>
  </si>
  <si>
    <t>Q Is there any indication yet of any kind of quid pro quo? I mean, Obama and Dodd were the two highest recipients of AIG campaign cash in 2008.</t>
  </si>
  <si>
    <t>The passage points to powerful political actors (“Obama and Dodd”) and a major corporation (“AIG”) and raises suspicion by asking about a “quid pro quo” tied to “AIG campaign cash.” This could be read as hinting at improper coordination or influence, but it is framed as a question (“Is there any indication yet”) rather than an assertion of secret collusion. There is no explicit claim of behind-the-scenes coordination or a described scheme, so a 4 or 5 is not warranted. Still, the juxtaposition of recipients and cash implies potential corrupt exchange enough to be more than a 1 or 2.</t>
  </si>
  <si>
    <t>The passage mentions powerful actors and money in politics (“Obama and Dodd… recipients of AIG campaign cash”) but does not explicitly state covert coordination or a conspiracy. It is an inquiry about whether there is “any indication” of a “quid pro quo,” which signals suspicion but stops short of alleging collusion as a fact. Under the EC guidance, vague insinuation without clear endorsement of a secret plan should not be elevated to strong collusion, making 3–5 too high. Because it does more than merely name actors by suggesting possible improper exchange, it fits better as a 2 than a 1.</t>
  </si>
  <si>
    <t>q_1558726_7_1</t>
  </si>
  <si>
    <t>I previously mentioned that Democrats authorized ERA2 on a partisan basis, without input from Republicans. This may have been a simple mistake that the IG wasn't authorized to recoup ERA2 funds in cases of fraud. Or perhaps my colleagues intended for grantees to take liberties with ERA2 funds, and use them for other purposes outside of the appropriate scope.</t>
  </si>
  <si>
    <t>The paragraph points to Democrats as powerful actors who "authorized ERA2 on a partisan basis, without input from Republicans," and then raises suspicion that they "intended for grantees to take liberties" and use funds outside the proper scope. This suggests possible bad-faith design of the program, but it does not clearly allege secret coordination among multiple powerful actors; it is framed as a possibility ("perhaps") rather than an assertion. The language implies potential manipulation of oversight rules, yet it remains ambiguous about covert, behind-the-scenes collusion. A 4–5 would require clearer claims of coordinated, secret action, while a 1–2 would ignore the insinuation of intentional enabling of misuse.</t>
  </si>
  <si>
    <t>The speaker criticizes Democrats for acting "on a partisan basis" and speculates that they may have "intended" to allow misuse of ERA2 funds, but the passage does not explicitly describe covert coordination or a conspiracy. The alternative explanation offered ("This may have been a simple mistake") further weakens any definite implication of collusion. There is no clear claim that multiple powerful actors secretly worked together; it is more an accusation of partisan policymaking and possibly negligent or permissive design. A 3+ would require a clearer suggestion of hidden coordination, while a 1 would be less fitting because the text does raise suspicion about intent.</t>
  </si>
  <si>
    <t>q_1691075_19_1</t>
  </si>
  <si>
    <t>In addition to the $5 billion Qatar real estate deal, the Trump  organization is also partnering with a Saudi firm on a $1 billion  Trump-branded hotel and tower in Dubai. The property's website--this  is, like, unbelievable. The property's website--this is a Trump- financed property, along with a Saudi investment fund--offers free 10- year ``golden visas'' to the United States, hinting at the opportunity  for investors in Trump's property to buy residency in the United States  and a pathway to citizenship. For the UAE, the price is somewhere north  of $2 billion. Last week, Eric Trump and World Liberty Financial  cofounder Zach Witkoff spoke at a conference in Dubai on crypto called  TOKEN2049.</t>
  </si>
  <si>
    <t>The paragraph highlights wealthy foreign actors and business entities ("Qatar," "a Saudi firm," "a Saudi investment fund") partnering with the Trump Organization and suggests a potentially improper arrangement via "free 10-year 'golden visas'" that "hint[s]" at buying U.S. residency. However, it does not clearly allege secret coordination among multiple powerful actors to manipulate U.S. policy; it reads more like an accusation of influence-peddling or unethical business practices than explicit collusion. The language is suggestive ("unbelievable," "hinting") but stops short of claiming a covert conspiracy. A 4 or 5 would require clearer claims of behind-the-scenes coordination to undermine the public interest, while a 1 or 2 would ignore the implied impropriety involving powerful foreign partners.</t>
  </si>
  <si>
    <t>The passage mentions powerful actors and large deals ("$5 billion Qatar real estate deal," "partnering with a Saudi firm," "Saudi investment fund") and raises ethical concerns about visas being offered in connection with investment. But it does not explicitly state or clearly imply covert coordination to manipulate events against the American people; the key phrasing is tentative ("hinting at the opportunity") rather than alleging a secret scheme. Under the EC rubric, we should not infer collusion from vague influence concerns alone, and there is no direct claim of a conspiracy or hidden coordination. A 3+ would require a clearer suggestion of behind-the-scenes coordination, while a 1 would be too low because the paragraph does point to powerful actors and potentially improper arrangements.</t>
  </si>
  <si>
    <t>q_231603_1_1</t>
  </si>
  <si>
    <t>Today, Congressman Brian Higgins (NY-27) was sworn in as a member of the 110th Congress, entering his second term in the House of Representatives.  "These first few days of the 110th Congress will serve as a new beginning and cleanup of the ethical mess that Washington has become," said Higgins.  "We will vote on legislation that will sever unethical ties between lawmakers and lobbyists, and will end the abuses that have become rampant in Congress.  On this historic day, I am honored to witness the swearing-in of our first woman Speaker of the House, Nancy Pelosi, and look forward to working with her and the entire Democratic Caucus to bring about these seriously needed reforms." The ethics reforms that will be voted on this week: Bans Gifts from Lobbyists: Bans gifts, including meals and tickets, from lobbyists and the organizations that employ them.. Bans Lobbyist Travel: Bans lobbyists and the organizations that employ them from financing travel for Members or staff, except for one-day travel to visit a site, attend a forum, participate in a panel, or give a speech.  The ethics committee would be required to develop guidelines to ensure minimal lobbyist involvement in such travel.  Requires Certification and Pre-Approval for Travel Paid for By Outside Groups: Requires the sponsors of all other permitted travel to certify that they have abided by all restrictions on lobbyist involvement.  Requires Members and staff to obtain pre-approval from the ethics committee for travel to ensure trips are connected to official duties, the amount spent is limited to reasonable expenses, and the destination is related to the purpose of the trip. Requires the full disclosure of all travel within 15 days after the trip.  Travel provisions take effect beginning on March 1st. Prohibits use of Company Planes: Prohibits the use of official, personal or campaign funds to pay for the use privately-owned or corporate jets.  This provision does not apply to charter plane services available to the public or to airplanes owned by Members. Ends the K Street Project:  Clarifies that no Member can take or withhold an official act, or influence, or offer or threaten to influence, the official act of another with the intent to influence on the basis of partisan political affiliation an employment decision or employment practice of any private entity Mandates Ethics Training:  Require mandatory ethics training annually for all House employees.</t>
  </si>
  <si>
    <t>The paragraph describes an "ethical mess" in Washington and proposes reforms to "sever unethical ties between lawmakers and lobbyists" and "end the abuses" in Congress, which implies improper influence by powerful interests. However, it does not clearly allege secret, coordinated action among multiple powerful actors; it frames the problem as unethical relationships and abuses rather than a covert conspiracy. The mention of ending the "K Street Project" gestures toward organized influence, but the text presents it as a policy clarification rather than an explicit claim of behind-the-scenes collusion. A 4 or 5 is less appropriate because there is no direct assertion of secret coordination against the public, while a 1 or 2 is less appropriate because the passage does suggest systemic unethical influence involving lawmakers and lobbyists.</t>
  </si>
  <si>
    <t>The passage focuses on ethics reforms (banning gifts and travel from lobbyists, requiring pre-approval and disclosure, prohibiting company planes) and criticizes "unethical ties" and "abuses" in Congress. While it references powerful actors (lawmakers, lobbyists) and improper influence, it does not explicitly suggest covert coordination or a conspiracy to manipulate events against the American people. The language is about transparency and rule changes rather than alleging secret collusion. Therefore a higher score (3-5) is not warranted, but a 1 is too low because it does point to unethical relationships between influential groups.</t>
  </si>
  <si>
    <t>q_1390062_6_1</t>
  </si>
  <si>
    <t>So let me just start with-- what we're -- what you'd like to see from a Senate trial, but try to address it this way. It feels like that many Americans -- we already know what the outcome is going to be-- and in fact, it feels as if the process in some ways -- the leaders in Capitol Hill, both on the, the House Democratic side and the Senate Republican side have decided to try to shorten everything, right? Shorten the investigation process, shorten the trial. Where does that leave us?</t>
  </si>
  <si>
    <t>The paragraph points to "leaders in Capitol Hill" on both "the House Democratic side and the Senate Republican side" having "decided to try to shorten everything," which suggests coordinated action by powerful actors across institutions. However, it does not explicitly frame this as secretive or conspiratorial; it is described as a visible procedural choice to "shorten the investigation process" and "shorten the trial." That makes the implication of collusion possible but ambiguous rather than clear. A 4 or 5 would require stronger cues of covert coordination or acting against the public interest, while a 1 or 2 would fit better if it only criticized one side or did not imply any cross-actor alignment.</t>
  </si>
  <si>
    <t>The speaker criticizes powerful actors—"leaders in Capitol Hill"—for wanting to "shorten" the investigation and trial, but the passage does not clearly indicate covert, secret coordination. The language reads as an open political/process critique ("have decided") rather than an allegation of behind-the-scenes conspiracy. While it mentions both parties' leadership, it does not provide evidence or insinuation of secrecy beyond a general "it feels as if" impression. Therefore it falls short of a 3+, which would require a clearer implication of hidden coordination, and is more than a 1 because it does attribute a shared procedural intent to powerful leaders.</t>
  </si>
  <si>
    <t>q_133388_18_1</t>
  </si>
  <si>
    <t>Now, I can tell you that this editorial goes on to say, Mr. Speaker, that the individuals that are being protected in this are the high-priced lobbyists and enriched constituencies. What it means by that by saying if you can pay to play in this House, then you are in good shape. You do not have anything to worry about. We have you, or they have you. And so I am glad that we are coming to the floor to be able to let not only the Members know but the American people know that this is an unacceptable practice, that I am glad that we are prepared on this side of the aisle to be able to put forth an amendment when you come to the floor with your budget that is going to not only move Americans forward but decrease the deficit.</t>
  </si>
  <si>
    <t>The paragraph suggests a coordinated, insider system benefiting “high-priced lobbyists and enriched constituencies,” framed as “pay to play in this House,” which implies powerful actors working together to protect each other. Phrases like “the individuals that are being protected” and “We have you, or they have you” evoke behind-the-scenes influence and capture of lawmakers by moneyed interests. While it does not lay out a detailed secret plot, the language strongly implies an entrenched arrangement that undermines the public interest, fitting a strong-implication score. A 5 is less appropriate because it never explicitly states a secret agreement among multiple actors, and a 3 would understate how directly it portrays a protection racket-like system.</t>
  </si>
  <si>
    <t>The passage criticizes “pay to play in this House” and says “high-priced lobbyists and enriched constituencies” are “being protected,” which could imply undue influence by powerful actors. However, it does not clearly assert covert coordination; it can be read as general corruption or influence rather than a specific secret collusion. The line “We have you, or they have you” is rhetorically suggestive but ambiguous about who is coordinating with whom and how. Thus, it fits an ambiguous implication (3) rather than 4 or 5, which would require clearer claims of secret, coordinated action.</t>
  </si>
  <si>
    <t>q_38649_19_1</t>
  </si>
  <si>
    <t>Mr. BAIRD. Mr. Speaker, could I ask my colleague a question if I may? There is a recent book out, I think, called The Vulcans, and we have read over the last couple of decades of plans for shadow governments, shadow administrations. I do not recall reading in the Constitution of the United States that the executive branch is empowered to create a shadow government. I do not recall reading it. I do recall, correctly I believe, that the Congress is empowered to provide through statutory language mechanisms to replace the President and the Vice President should those two seats be vacant. In the gentleman's estimation and thought, as he has spent a great deal of time, which does he think would have more legitimacy with the American public, a public process enshrined in statute, debated thoroughly by the House and Senate and passed into law that gives a clear cut, unambiguous line of succession for who will be President and Vice President or a shadow government created covertly and operating covertly to run the institutions of this country without a Congress to exercise oversight?</t>
  </si>
  <si>
    <t>The paragraph explicitly alleges covert, extra-constitutional coordination by powerful executive-branch actors through repeated references to a "shadow government" and "shadow administrations." It contrasts a statutory, public succession process with "a shadow government created covertly and operating covertly to run the institutions of this country without a Congress to exercise oversight," which directly asserts secretive action undermining public accountability. This goes beyond merely mentioning powerful actors by claiming hidden operations within the executive branch that bypass Congress. A lower score would fit if the speaker were only speculating or using the term metaphorically, but the language here is direct and accusatory about covert governance.</t>
  </si>
  <si>
    <t>The speaker strongly implies secret coordination by powerful actors by describing "plans for shadow governments" and asking whether a "shadow government created covertly and operating covertly" is being used to run institutions without oversight. While this is a clear insinuation of clandestine governance, it is framed as a question and an argument about legitimacy rather than a fully evidenced, declarative claim naming specific coordinating individuals. The repeated emphasis on "covertly" and lack of congressional oversight makes the collusion implication strong under the rubric. A 5 would be more appropriate if the passage unequivocally stated that such a shadow government is in fact operating, rather than posing it as a hypothetical comparison.</t>
  </si>
  <si>
    <t>q_214815_9_1</t>
  </si>
  <si>
    <t>You will recall that four and a half years ago I warned this nation about the deception behind the buildup to war against Iraq. Everything I said then turned out to be 100% right. I led 125 Democrats in opposing the Iraq war resolution in March of 2003. The very same people who brought us Iraq in 2003 are getting ready to bring us a war against Iran.</t>
  </si>
  <si>
    <t>The paragraph alleges "deception behind the buildup to war against Iraq" and claims "the very same people" are preparing a war with Iran, which can hint at coordinated manipulation by influential decision-makers. However, it does not explicitly describe secret coordination among multiple powerful actors, nor does it name institutions acting in concert. The language is more about repeated bad actors and misleading justifications than a clear behind-the-scenes conspiracy. A 4–5 would require clearer claims of covert collaboration, while a 1–2 would fit if it only criticized policy without implying deception.</t>
  </si>
  <si>
    <t>The speaker accuses prior leaders of "deception" regarding Iraq and warns that "the very same people" may push another war, but this is framed as a pattern of misleading the public rather than explicit covert coordination among multiple powerful actors. There is no direct claim of a secret agreement, conspiracy, or behind-the-scenes collusion—just that certain actors are again advocating war. Under the EC rubric’s caution, the implication of collusion is too indirect to score a 3 or higher. It is more than a 1 because it does allege deception by powerful figures, but it stops short of collusion.</t>
  </si>
  <si>
    <t>q_1620721_1_1</t>
  </si>
  <si>
    <t>The recent leak from the Supreme Court should alarm all Kansans -- it's a shocking attack and intimidation on our nation's justices and an apparent attempt to hijack the Court's decision-making process. In this case, it shows how radical the far left has become on the issue of abortion -- calling for taxpayer-funded abortion up until the moment of birth, but it also serves as a reminder that Kansas is and will be a destination for people seeking abortions unless we codify our common sense protections for women and babies. Regardless of the outcome, Susan and I, along with many Kansans throughout the state, continue to be staunch defenders of the most fundamental inalienable right: the right to life.</t>
  </si>
  <si>
    <t>The paragraph attributes the Supreme Court leak to an "apparent attempt to hijack the Court's decision-making process" and frames it as "attack and intimidation," which can imply behind-the-scenes efforts to influence outcomes. However, it does not clearly identify multiple powerful actors coordinating in secret; it mainly blames the "radical far left" in broad terms without describing concrete coordination. That makes the collusion implication present but ambiguous rather than explicit. A higher score (4–5) would require clearer claims of organized, covert coordination by specific powerful institutions or actors, while a lower score (1–2) would fit if it described the leak as bad but did not suggest an attempt to manipulate the Court.</t>
  </si>
  <si>
    <t>The passage condemns the leak as an "attack and intimidation" and says it is an "apparent attempt to hijack" the Court, but it does not explicitly allege covert coordination among multiple powerful actors. References to the "radical far left" are vague and do not establish a secret conspiracy or coordinated scheme, especially under a stricter standard that avoids inferring collusion from rhetoric. The focus quickly shifts to abortion policy and Kansas protections rather than detailing any organized plot. A score of 1 would fit if it made no suggestion of manipulation at all, while 3–5 would require clearer language indicating secret coordination or a conspiracy.</t>
  </si>
  <si>
    <t>q_29916_6_1</t>
  </si>
  <si>
    <t>"The NRC Inspector General has found that the NRC chose to protect the 'financial impact on FENOC' rather than force compliance with safety regulations. After the shutdown of Davis Besse, the NRC released a report that documented its 'Lessons Learned.' The report made a few recommendations as to how the NRC might avoid future incidents like the corrosion problems at Davis Besse. Since the release of the final report, a draft 'lessons learned' report surfaced that contained several far reaching recommendations that would in fact make a real difference in nuclear power plant safety. But to avoid costly regulations on the industry, those recommendations did not make the final report.</t>
  </si>
  <si>
    <t>The passage alleges that the NRC prioritized protecting the "financial impact on FENOC" over enforcing safety regulations, and that "far reaching recommendations" were excluded "to avoid costly regulations on the industry." This implies behind-the-scenes decision-making that benefits an industry actor at the expense of public safety, suggesting coordinated or captured behavior by powerful institutions. However, it does not explicitly claim a secret agreement among multiple powerful actors; it frames the issue more as regulatory favoritism/suppression of recommendations than a clearly described conspiracy. That makes a 5 less appropriate, while the repeated emphasis on avoiding costs and omitting recommendations makes it stronger than a merely ambiguous 3.</t>
  </si>
  <si>
    <t>The paragraph suggests improper influence or regulatory capture by stating the NRC "chose to protect" FENOC’s finances and that key safety recommendations "did not make the final report" to avoid costly regulation. This could be read as implying covert coordination, but it does not explicitly describe secret collaboration between multiple powerful actors, nor does it provide clear evidence of a coordinated conspiracy. The language can be interpreted as unilateral agency decision-making or bias rather than collusion. Therefore a 4–5 is not warranted under the stricter standard, but it goes beyond a 1–2 because it hints at hidden motives affecting outcomes.</t>
  </si>
  <si>
    <t>q_624780_2_1</t>
  </si>
  <si>
    <t>Earlier this year, the Bureau of Alcohol, Tobacco, Explosives &amp; Firearms' (ATF) engaged in a surveillance program code-named "Operation Fast and Furious," in which ATF agents were instructed to allow guns purchased by known criminals to be illegally trafficked across the border to Mexico in an effort to connect those guns to drug cartels. The operation resulted in hundreds of guns being transferred to cartels, which were later found at crime scenes and submitted into the U.S. eTrace system, which stores gun trace data and is maintained by the ATF. However, due to a rider that has been a feature of Appropriations bills since 2003, known as the "Tiahrt Amendment," the ATF cannot provide that data to any entity other than a law enforcement agency.</t>
  </si>
  <si>
    <t>The paragraph describes a covert government operation ("Operation Fast and Furious") where "ATF agents were instructed to allow guns" to be trafficked, which can be read as suggesting behind-the-scenes planning by a powerful actor (a federal agency). However, it does not clearly allege secret coordination among multiple powerful actors against the public; it frames the purpose as "an effort to connect those guns to drug cartels" rather than to undermine Americans. The mention of the "Tiahrt Amendment" limiting data sharing points to institutional constraints, not an explicit conspiracy. A 4 or 5 is less appropriate because there is no direct claim of collusion or coordinated plot, while a 1 or 2 is less appropriate because the passage does imply a secretive program with troubling outcomes.</t>
  </si>
  <si>
    <t>The passage discusses actions by a powerful actor (the ATF) and a legal restriction (the "Tiahrt Amendment"), but it does not explicitly suggest covert coordination among multiple powerful actors to manipulate events against the public. It describes an operation with a stated investigative rationale ("to connect those guns to drug cartels") and then notes that ATF "cannot provide" trace data beyond law enforcement due to an appropriations rider. That is more about policy and agency conduct than collusion. A higher score is less fitting because there is no clear allegation of conspiracy or secret coordination, while a 1 is less fitting because it does involve powerful institutions and a secretive program.</t>
  </si>
  <si>
    <t>q_743633_35_1</t>
  </si>
  <si>
    <t>HANNITY: They are afraid of the scrutiny. Here we are 50 days out of an election as of tonight. So for political purposes they will willingly lie to the American people about what happened here? Why? So as to show that an apology --</t>
  </si>
  <si>
    <t>The passage refers to an unspecified but powerful-sounding “they” who are “afraid of the scrutiny” and who “will willingly lie to the American people… for political purposes,” which can weakly suggest coordinated deception. However, it does not explicitly describe secret behind-the-scenes coordination among multiple actors, nor does it name institutions or groups that are colluding. The language reads more like a general accusation of political dishonesty than a clear claim of collusion. A higher score would require clearer claims of covert coordination, while a lower score would fit if it were merely about fear of scrutiny without alleging lying to the public.</t>
  </si>
  <si>
    <t>While the speaker alleges that “they… will willingly lie to the American people… for political purposes,” the passage does not clearly indicate covert coordination or a conspiracy among multiple powerful actors. The referent of “they” is vague, and the statement could describe ordinary partisan spin rather than secret collusion. Under the EC rubric, we should not infer collusion from general claims of lying without explicit hints of behind-the-scenes coordination. A higher score would require clearer language about secret cooperation, whereas a score of 1 would be less fitting because the passage does accuse actors of misleading the public.</t>
  </si>
  <si>
    <t>q_312805_265_1</t>
  </si>
  <si>
    <t>I am a telecommunications and data networking expert who has been involved in the development of several critical Internet technologies. I was a professor of electrical engineering at Stanford University and in computer science at Carnegie-Mellon university west. I have carefully reviewed the AT&amp;T authenticated documents and declaration provided by Mark Klein and the public redacted version of the expert declaration of J. Scott Marcus both filed in the Hepping vs. AT&amp;T litigation. Provided the information contained in those declarations and documents, with my extensive knowledge of the international communications infrastructure and the technology regularly used for lawful surveillance pursuant to warrants and court orders, I believe Mr. Klein's evidence is strongly supported of widespread untargeted surveillance of ordinary people, both AT&amp;T customers and others. The AT&amp;T documents describe a technological setup at the AT&amp;T facility in San Francisco. This setup is particularly well suited to wholesale dragnet surveillance of all communications passing through that facility, whether international or domestic. These documents describe how the fiber-optic cables were cut and splitters installed at the cut point. Fiber-optic cables work just like ordinary TV splitters. One cable feeds in and two cables feed out. Both cables carry a copy of absolutely everything that is sent, and if the second cable is connected to a monitoring station, that station sees all traffic going over the cable. Mr. Klein stated the second cable was routed into a room at the facility whose access was restricted to AT&amp;T employees having clearances from the NSA. The documents indicate that similar facilities were being installed in Seattle, San Jose, Los Angeles, and San Diego, and also a reference to a somewhat similar facility in Atlanta. This infrastructure is capable of monitoring all traffic passing through the AT&amp;T facility, some of it not even from AT&amp;T customers, whether voice or data or fax or international or domestic. The most likely use of this infrastructure is wholesale untargeted surveillance of ordinary Americans at the behest of the NSA. NSA involvement undermines arguments the facility is intended for use by AT&amp;T in protecting its own network operations. This infrastructure is not limited to, nor would it be, especially efficient for target surveillance or even untargeted surveillance aimed at communications where one of the ends is located outside of the United States. It is also not reasonably aimed at supporting AT&amp;T operations in security procedures. There are three main reasons. The technological infrastructure is far more powerful and expensive than that needed to do targeted surveillance or surveillance aimed only at international or one-end foreign communications. For example, it includes a NARUS Norris 6400, a computer that can simultaneously analyze huge amounts of information based on rules provided by the machine operator, analyze the content of messages and other information--not just headers or routing information--conduct the analysis in real time, rather than after a delay, and correlate information for multiple sources, multiple formats, over many protocols and through different periods of time in that analysis. The document describes a secret private backbone network, separate from the public network where normal AT&amp;T customer traffic is carried and transmitted. A separate backbone network would not be required for transmission of the smaller amounts of data captured by a targeted surveillance. You don't need the magnitude of capacity doing targeted surveillance. The San Francisco facility is not located near an entry point for international communications that happen to be transmitted through the United States, either through undersea cable or via satellite. As a result, it would not be a sensible place to locate a facility aimed at simply monitoring traffic to or from northern countries.</t>
  </si>
  <si>
    <t>The paragraph explicitly alleges coordinated, secret surveillance involving multiple powerful actors: AT&amp;T and the NSA. It describes covert technical measures—"fiber-optic cables were cut and splitters installed" and a "room... whose access was restricted to AT&amp;T employees having clearances from the NSA"—which implies behind-the-scenes cooperation to capture "absolutely everything" passing through the facility. It further claims the "most likely use" is "wholesale untargeted surveillance of ordinary Americans at the behest of the NSA," framing the activity as against public interest and not a normal, warrant-based program. A lower score would be less appropriate because the passage goes beyond vague suspicion and provides a detailed account of secret infrastructure and inter-organizational involvement; a higher score is not possible on the rubric.</t>
  </si>
  <si>
    <t>The passage clearly suggests covert coordination between powerful entities (a major telecom and a federal intelligence agency) to enable mass surveillance, not merely general government power. Specific language like "splitters installed" to copy "absolutely everything," plus restricted access tied to "clearances from the NSA," indicates secretive collaboration rather than routine compliance with warrants. The claim that similar facilities were being installed in multiple cities and that the setup is suited to "wholesale dragnet surveillance" strengthens the inference of an organized, concealed program. Scores below 5 are less fitting because the paragraph does not just hint at collusion; it directly attributes the infrastructure’s purpose to surveillance "at the behest of the NSA" and describes mechanisms consistent with covert coordination.</t>
  </si>
  <si>
    <t>q_871813_8_1</t>
  </si>
  <si>
    <t>Rep. Gowdy: "Current law provides Special Counsel should be appointed in extraordinary cases where it serves the public interest. I cannot think of anything more extraordinary than targeting Americans simply for having a certain ideology, and it is most assuredly in the public interest to protect our freedom of speech.</t>
  </si>
  <si>
    <t>The passage alleges that Americans were "target[ed]... simply for having a certain ideology," which implies abuse of power by authorities and could hint at coordinated action against citizens. However, it does not explicitly describe secret, behind-the-scenes coordination among multiple powerful actors; it focuses more on improper targeting and the need for a Special Counsel. The language is accusatory but not specific about who coordinated with whom or that there was a covert conspiracy. A higher score would require clearer claims of multiple actors working together secretly, while a lower score would fit if it only discussed policy without implying wrongful targeting.</t>
  </si>
  <si>
    <t>The quote criticizes "targeting Americans" and argues for appointing a Special Counsel, but it does not clearly assert covert coordination or a conspiracy among powerful actors. It frames the issue as extraordinary misconduct affecting free speech rather than secret collusion to manipulate events. Because the passage lacks explicit claims of behind-the-scenes cooperation, interpreting it as collusion would be speculative under this rubric. A higher score would need direct references to coordinated, secret action, while a score of 1 would be less fitting because it does suggest wrongdoing by authorities even if not collusion.</t>
  </si>
  <si>
    <t>q_18911_1_1</t>
  </si>
  <si>
    <t>Today's Washington Post story debunks past claims by this Administration that the false uranium claim was limited to one speech or sixteen words. It is now clear that despite knowing the information could not be backed up by intelligence the Administration, from the top down, continued to use the false statements in an effort to play on the fears of the American public and mislead Congress.</t>
  </si>
  <si>
    <t>The paragraph alleges coordinated wrongdoing by powerful actors within “the Administration, from the top down,” claiming they “continued to use the false statements” despite “knowing the information could not be backed up by intelligence.” This implies internal, high-level coordination to “play on the fears of the American public and mislead Congress,” which fits collusion to manipulate events against the public interest. It is not fully explicit about secret meetings or multiple separate institutions conspiring, so a 5 is less appropriate. Still, the “from the top down” framing and repeated use despite knowledge makes the collusion implication strong rather than ambiguous, so it is higher than a 3.</t>
  </si>
  <si>
    <t>The passage accuses “the Administration, from the top down” of persisting in “false statements” despite knowing they lacked intelligence support, suggesting a concerted effort to mislead. However, it does not explicitly describe covert coordination among multiple powerful actors beyond the Administration itself, and the conduct could be interpreted as institutional messaging rather than secret collusion. Because the text implies intentional, organized deception but stops short of clearly detailing a conspiracy, a 3 fits better than a 4. A 1–2 would ignore the clear allegation of deliberate, top-level continuation of misinformation.</t>
  </si>
  <si>
    <t>q_1075474_9_1</t>
  </si>
  <si>
    <t>The simple, sobering fact is this: Energy efficiency and renewable  energy will not be enough to stop the warming of our planet unless we  leave 80 percent of the currently known fossil fuel reserves in the  ground. That is a powerful statement because there are enormous  financial forces that seek to extract those proven reserves, to burn  those proven preserves, and in doing so will destroy our planet.</t>
  </si>
  <si>
    <t>The paragraph points to “enormous financial forces” that “seek to extract” and burn fossil fuel reserves, framing them as powerful actors whose actions undermine the public interest by “destroy[ing] our planet.” However, it does not clearly describe secretive, behind-the-scenes coordination among multiple actors; it reads more like aligned incentives and lobbying pressure than explicit collusion. The language could be taken to imply a coordinated effort to keep extraction going, but that implication is not spelled out. A higher score would require clearer claims of covert cooperation, while a lower score would fit if it merely mentioned industry influence without any suggestion of organized opposition to the public good.</t>
  </si>
  <si>
    <t>The passage identifies “enormous financial forces” pushing to extract and burn fossil fuels, but it does not explicitly allege covert coordination, conspiracy, or secret agreements. It describes a strong economic motive and harmful outcome (“will destroy our planet”) rather than a claim that powerful actors are colluding in secret. Under the EC rubric’s caution against inferring collusion from vague power references, this is better read as influence/pressure, not collusion. A higher score would require clearer language about hidden coordination, while a score of 1 would be less appropriate because the paragraph does suggest powerful actors working against the public interest, even if not collusively.</t>
  </si>
  <si>
    <t>q_22967_17_1</t>
  </si>
  <si>
    <t>We toppled a corrupt dictatorship to instill democratic principles in Iraq, but what does it say to the Iraqi people when the largest recipient of United States reconstruction contracts in Iraq is paying compensation to the second highest official in the U.S. Government? I say it sends the wrong message to the people of Iraq and certainly sends the wrong message to the people in our country.</t>
  </si>
  <si>
    <t>The passage strongly implies corrupt coordination between a powerful private actor and a top U.S. official: it highlights that the “largest recipient of United States reconstruction contracts” is “paying compensation to the second highest official in the U.S. Government.” By juxtaposing contract awards with payments to a senior official, it suggests a quid pro quo or behind-the-scenes influence that undermines public interests and democratic principles. The speaker frames this as sending “the wrong message” to Iraqis and Americans, indicating perceived misconduct by elites rather than a benign relationship. A 5 is less appropriate because it does not explicitly claim a secret conspiracy among multiple actors beyond this implied pay-to-play relationship, but it is stronger than a 3 because the implication of improper collusion is direct and central.</t>
  </si>
  <si>
    <t>The paragraph points to a potentially improper relationship between a major contractor and a high-ranking official by noting the contractor is “paying compensation to the second highest official in the U.S. Government,” which could imply undue influence. However, it does not explicitly state covert coordination, a conspiracy, or that contracts were awarded because of the payment; it mainly argues the situation “sends the wrong message.” Under the EC rubric’s caution against assuming collusion without clear covert coordination, this reads as suggestive but not definitive. A 4 or 5 would require clearer claims of secret coordination or manipulation, while a 2 would understate the pointed linkage between contracts and payments.</t>
  </si>
  <si>
    <t>q_816314_7_1</t>
  </si>
  <si>
    <t>Furthermore, yesterday, Treasury released a report stipulating the consequences of a default.  There is no doubt that those consequences would be significant. The overwhelming majority of members of Congress on both sides of the aisle are committed to ensuring that doesn't happen.  But, if, as your report suggests, default could happen, then the responsible action from a risk management perspective would be to formulate contingency plans for how Treasury would deal with such an event.  If you have taken that responsible action, then please share your plans with Congress and the American people.  If you have not and, as your report suggests, you believe default is a possibility, then Treasury is not acting as a responsible fiscal agent of the government.   Yesterday, you attended a White House meeting along with the President, the Vice President, and Chief Executive Officers of major Wall Street firms, such as Citigroup, AIG, J.P. Morgan Chase, and Wells Fargo.  It is my hope that, in that meeting, administration officials did not question current sentiments of markets and the American people or discuss debt- and cash-management information not also made available to Congress and the American people.</t>
  </si>
  <si>
    <t>The paragraph points to a closed-door "White House meeting" involving top administration officials and "Chief Executive Officers of major Wall Street firms" and expresses concern they may have discussed "debt- and cash-management information" not shared with "Congress and the American people." This frames powerful actors as potentially coordinating privately in a way that could disadvantage the public, which is a strong implication of behind-the-scenes collusion. However, the speaker couches it as "my hope" and does not directly assert that secret coordination occurred, making a 5 (explicit assertion) less appropriate. It goes beyond a 3 because it specifies a private meeting and the possibility of withholding information, not merely vague distrust of elites.</t>
  </si>
  <si>
    <t>The passage raises suspicion about a meeting with "major Wall Street firms" and worries officials might have discussed information "not also made available to Congress and the American people," which could imply covert coordination. But the speaker does not claim collusion happened; they explicitly phrase it as a hope that officials "did not" do this, leaving the allegation hypothetical. That makes a 4 or 5 too strong under the stricter standard requiring clearer suggestion of conspiracy. It is more than a 2 because it does more than merely mention powerful actors; it flags a specific scenario of potentially nontransparent information-sharing.</t>
  </si>
  <si>
    <t>q_876008_2_1</t>
  </si>
  <si>
    <t>Instead of tending to the basics, government has grown into a bloated conglomerate of political services that gets larger every year -- with no end in sight. For example, politicians spend millions of dollars on failed parking garages -- while spending more millions to on their own businesses. They send billions to well connected business -- while the vast majority of South Carolina businesses are struggling. The state legislature even grants government contracts to companies owned by its own members.</t>
  </si>
  <si>
    <t>The paragraph alleges self-dealing and favoritism by government insiders, describing politicians who spend public money "on their own businesses" and a legislature that "grants government contracts to companies owned by its own members." This implies coordinated, insider manipulation of public resources for private gain, especially through the contracting process and benefits to "well connected" businesses. While it does not explicitly describe secret meetings or a named conspiracy, the repeated pattern of insiders directing funds to themselves and connected firms strongly suggests collusive behavior against the public interest. A 5 is less appropriate because the passage stops short of explicitly asserting covert coordination, but a 3 would understate how directly it accuses officials of steering money to themselves and allies.</t>
  </si>
  <si>
    <t>The passage criticizes corruption and conflicts of interest, citing politicians spending money "on their own businesses" and lawmakers awarding contracts to companies "owned by its own members." These claims can suggest collusion or insider coordination, but the text does not clearly describe covert, behind-the-scenes planning among multiple powerful actors; it could also be read as individual self-dealing and systemic cronyism. The phrase "well connected" hints at favoritism, yet it remains vague about any secret agreement or coordinated scheme. Therefore a 4 or 5 would require clearer allegations of covert coordination, while a 2 would ignore the implied insider network in contracting and spending.</t>
  </si>
  <si>
    <t>q_1571377_4_1</t>
  </si>
  <si>
    <t>Now we are learning from a whistleblower that the FBI was using  antiterror tools to monitor parents and adding threat tags to files to  track them. This is absurd. We should never criminalize parents for  speaking up for their children.</t>
  </si>
  <si>
    <t>The paragraph alleges misconduct by a powerful actor ("the FBI")—using "antiterror tools to monitor parents" and "adding threat tags"—which could be read as an abuse of power against the public. However, it does not clearly describe secret coordination among multiple powerful actors; it focuses on a single institution’s actions rather than a behind-the-scenes conspiracy. The phrase "learning from a whistleblower" adds a hint of hidden activity, but it still doesn’t establish collusion in the strict sense. A higher score (4–5) would require explicit claims of coordinated, covert action among multiple actors, while a lower score (1–2) would fit if it were merely policy criticism without any insinuation of covert monitoring.</t>
  </si>
  <si>
    <t>The passage criticizes the FBI’s alleged actions ("using antiterror tools to monitor parents" and "adding threat tags"), but it does not explicitly suggest covert coordination or conspiracy among multiple powerful actors. The mention of a "whistleblower" indicates the information was not public, yet it still describes unilateral agency behavior rather than collusion. There is no claim that other institutions, political groups, or elites coordinated with the FBI to undermine the public interest. Therefore, a 2 fits better than a 3–5, which would require clearer implications of secret coordination.</t>
  </si>
  <si>
    <t>q_1339032_43_1</t>
  </si>
  <si>
    <t>One of the gravest threats to the Second Amendment, and to American freedom itself, are activist judges.  You see it every day.  Every day.  They almost always file in a certain little jurisdiction; I won't tell you what it is, but you all know.  Every time we get sued on the ban, which we ended up winning -- you know, we have the ban.  We lost in the Ninth Circuit; we shouldn't have.  We lost in the Ninth Circuit Court of Appeals, which we shouldn't have.  And we won at the United States Supreme Court.  So we have the ban.  Travel ban.</t>
  </si>
  <si>
    <t>The passage targets “activist judges” as a powerful group and suggests a pattern where lawsuits “almost always file in a certain little jurisdiction,” hinting at strategic behavior. However, it does not clearly allege secret coordination among multiple powerful actors; it reads more like criticism of forum-shopping and unfavorable rulings (e.g., “We lost in the Ninth Circuit; we shouldn’t have”). There is no explicit claim of a behind-the-scenes conspiracy to undermine the public, only an insinuation that the system is being used predictably. A higher score would require clearer assertions of covert coordination, while a lower score would fit if it were merely general criticism without the “certain little jurisdiction” insinuation.</t>
  </si>
  <si>
    <t>The speaker criticizes “activist judges” and notes that cases are filed in a particular jurisdiction, but this is not an explicit claim of covert coordination or conspiracy. The language points to perceived bias or strategic venue selection rather than secret collusion to manipulate events against the American people. The passage also emphasizes legal outcomes (loss in the Ninth Circuit, win at the Supreme Court) rather than alleging hidden plotting. Under this stricter rubric, a 3+ would require clearer implication of behind-the-scenes coordination, which is not directly stated here.</t>
  </si>
  <si>
    <t>q_29523_11_1</t>
  </si>
  <si>
    <t>Although one of the major questions that needs to be addressed is whether senior administration officials exaggerated the nature of the threat to Iraq, the President is attempting to make the case that actions by these officials are best investigated by a commission whose members are appointed by and report to those very officials in the White House.</t>
  </si>
  <si>
    <t>The paragraph suggests a self-protective arrangement in which “senior administration officials” and “those very officials in the White House” control the investigation into their own conduct via a commission “appointed by and report[ing] to” them. This implies coordinated manipulation of oversight to avoid accountability, which fits collusion-like behavior even though it is not described as secret. The language about officials potentially having “exaggerated the nature of the threat to Iraq” and then steering the investigation toward a dependent commission strongly signals undermining the public interest. A 5 is less appropriate because it does not explicitly claim covert, secret coordination; a 3 is less appropriate because the structural conflict-of-interest is presented as a deliberate strategy by the President, not merely an ambiguous concern.</t>
  </si>
  <si>
    <t>The passage raises concerns that the President wants alleged misconduct by “senior administration officials” investigated by a commission “appointed by and report[ing] to those very officials,” which could indicate coordinated control over oversight. However, it does not explicitly allege secretive coordination or a conspiracy; it could also be read as a critique of an improper or biased investigative structure rather than collusion. The wording “attempting to make the case” suggests intent, but the claim remains about institutional design rather than covert plotting. A 4 or 5 is less appropriate because the paragraph never clearly asserts hidden coordination, while a 2 is less appropriate because it goes beyond merely mentioning powerful actors by implying they would influence the investigation into themselves.</t>
  </si>
  <si>
    <t>q_529148_1_1</t>
  </si>
  <si>
    <t>Almost 4 months ago a secret memo was discovered. Across the top, where you might see ``top secret,'' it said ``not for release'' instead. It contained secret plans to designate millions of acres across the West as national monuments. My colleagues and I demanded the missing pages, and after nearly 4 months, mum is the word.</t>
  </si>
  <si>
    <t>The paragraph repeatedly emphasizes secrecy—"a secret memo was discovered," marked "not for release," with "missing pages" and "after nearly 4 months, mum is the word"—which strongly implies behind-the-scenes coordination to advance "secret plans" affecting "millions of acres." While it does not name specific actors, the reference to concealed documents and withheld information suggests powerful decision-makers are working covertly to manipulate a major public land outcome. A 5 is less appropriate because it never explicitly states multiple powerful actors are colluding against the public, only that plans are secret and information is being withheld. A 3 would be too low because the language of secrecy and non-disclosure is central and sustained, not merely incidental or ambiguous.</t>
  </si>
  <si>
    <t>The passage clearly alleges secrecy ("secret memo," "not for release," "missing pages," "mum is the word") around plans to designate land as national monuments, which could suggest covert maneuvering by officials. However, it does not explicitly describe coordination among multiple powerful actors, nor does it directly claim a conspiracy against the American people—only that information is being withheld. Under the stricter EC standard, this makes the collusion implication plausible but not clearly established. A 4 or 5 would require clearer claims of coordinated, covert action by multiple actors, while a 2 would understate the repeated emphasis on secrecy and withholding.</t>
  </si>
  <si>
    <t>q_148330_1_1</t>
  </si>
  <si>
    <t>"From the White House to Congress to K-Street, Republicans' organized corruption in Washington has come at a great cost to the American people," said Harkin. "Rather than debating legislation written by and for special interests, I believe we must fight for reform, so we can clean up Washington and ensure that America's interests always come first."</t>
  </si>
  <si>
    <t>The passage alleges coordinated wrongdoing by powerful actors, describing "Republicans' organized corruption in Washington" spanning "the White House to Congress to K-Street," which implies a network acting in concert. It also suggests policy is being shaped "by and for special interests," indicating behind-the-scenes influence that undermines the public interest. While it does not explicitly describe secret meetings or covert coordination, the phrase "organized corruption" across multiple institutions strongly implies collusion-like coordination. A 5 is less appropriate because the paragraph stops short of explicitly asserting a secret conspiracy, while a 3 would understate how directly it frames the corruption as organized across powerful centers.</t>
  </si>
  <si>
    <t>The speaker points to powerful actors (the White House, Congress, and K-Street) and claims "organized corruption" and legislation "written by and for special interests," which could suggest coordinated influence. However, the paragraph does not clearly specify covert, secretive coordination; it could also be read as broad, public-interest-group capture rather than a hidden conspiracy. Under the EC rubric’s caution, the implication of collusion is present but not explicit enough for a 4. A 2 would be too low because the language "organized corruption" and cross-institution framing goes beyond merely mentioning powerful actors.</t>
  </si>
  <si>
    <t>q_510119_2_1</t>
  </si>
  <si>
    <t>According to the New York Times, a new report from the Interior Department's Inspector General revealed serious problems with MMS oversight of offshore drilling. The article states that several MMS employees failed to properly conduct safety inspections and instead relied upon industry employees to pencil in evaluations. It also says that employees regularly violated ethics standards and accepted gifts, meals and tickets to sporting events from oil and natural gas companies. One employee, in particular, purportedly conducted safety inspections of an oil company at the same time he was interviewing for a position with the firm. The report also revealed several incidents of drug use.</t>
  </si>
  <si>
    <t>The paragraph describes misconduct and regulatory capture within MMS, including employees who "relied upon industry employees to pencil in evaluations" and who "accepted gifts, meals and tickets" from oil and gas companies. This could suggest a form of coordinated, behind-the-scenes influence between regulators and industry, but it is framed as individual ethics violations and oversight failures rather than an explicit secret plan among multiple powerful actors. There is no direct claim that the companies and MMS leadership jointly conspired to undermine the public; it is reported as "serious problems" and improper behavior. A 4 or 5 would require clearer language asserting deliberate, covert coordination, while a 2 would understate the implied industry-regulator entanglement.</t>
  </si>
  <si>
    <t>The passage reports corruption and negligence—MMS employees "failed to properly conduct safety inspections" and "accepted gifts"—but it does not explicitly allege covert coordination or a conspiracy among powerful actors. The closest it comes is reliance on "industry employees to pencil in evaluations" and an employee interviewing with a firm he was inspecting, which indicates conflicts of interest rather than a stated collusive scheme. Because the paragraph attributes these claims to an Inspector General report via the New York Times and does not add an explicit accusation of secret coordination, the implication of collusion remains limited. A 3+ would require clearer suggestion of intentional, coordinated manipulation beyond individual misconduct, while a 1 would ignore the involvement of industry actors influencing oversight.</t>
  </si>
  <si>
    <t>q_281499_6_1</t>
  </si>
  <si>
    <t>* Republicans offered a motion to prevent benefits being given to illegal aliens.    * When the Speaker Pro Tempore gaveled the vote closed, the motion had passed 215-213.    * This result was unacceptable to Democrat leadership, and they allowed members to change their vote to reverse the outcome after the vote was finished.    * Though the motion was successful, the record was changed to show that it failed by a vote of 212-216.</t>
  </si>
  <si>
    <t>The passage alleges that “Democrat leadership” intervened after the vote was closed to “allow[] members to change their vote to reverse the outcome,” and that “the record was changed” to show the motion failed. This implies coordinated action by powerful institutional actors to manipulate an official outcome against the public interest as framed by the speaker. It is not a 5 because it does not explicitly describe secret, behind-the-scenes coordination beyond the procedural allegation, nor does it name multiple powerful actors coordinating covertly beyond leadership enabling vote changes. It is stronger than a 3 because it asserts deliberate manipulation of the result, not merely vague suspicion.</t>
  </si>
  <si>
    <t>The paragraph claims the outcome was “unacceptable to Democrat leadership” and that they “allowed members to change their vote” and that “the record was changed,” which could suggest coordinated manipulation. However, it describes an overt procedural action (vote changes after the gavel) rather than clearly alleging covert, secretive coordination, so the collusion implication is less direct under the stricter EC standard. A 4–5 would require clearer language about a conspiracy or hidden coordination among multiple powerful actors, while a 2 would fit only if it merely mentioned leadership without alleging outcome manipulation.</t>
  </si>
  <si>
    <t>q_261348_18_1</t>
  </si>
  <si>
    <t>REP. BRAD SHERMAN, (D) CALIFORNIA: Well, we in -- people in Washington have been talking about labor standards and environmental standards. First this agreement doesn't provide enforceable standards. Nothing gets enforced unless Bush wants to take an action adverse to a multinational corporation. I don't think that's going to happen.</t>
  </si>
  <si>
    <t>The passage points to powerful actors—President Bush and “a multinational corporation”—and implies that enforcement decisions depend on whether Bush is willing to act “adverse to a multinational corporation.” This suggests a potentially captured or biased enforcement process, which could be read as an implicit alignment between government and corporate interests, but it does not clearly describe secret coordination or a behind-the-scenes conspiracy. The language is skeptical (“I don't think that's going to happen”) rather than alleging an explicit covert deal. A 4–5 is less appropriate because there is no direct claim of secret collusion, while a 1–2 is less appropriate because the speaker does imply undue influence by corporate power over enforcement.</t>
  </si>
  <si>
    <t>The speaker criticizes the lack of “enforceable standards” and argues that nothing will be enforced unless Bush chooses to act against “a multinational corporation,” implying reluctance or bias. However, the paragraph does not explicitly suggest covert coordination, secret planning, or a conspiracy between multiple powerful actors; it reads more like a prediction of non-enforcement due to political incentives. The statement does not allege that Bush and corporations are secretly working together, only that Bush won’t take adverse action. A 3–5 is less appropriate because the collusion element is not clearly stated, while a 1 is less appropriate because powerful actors and potential undue influence are still invoked.</t>
  </si>
  <si>
    <t>q_980193_1_2</t>
  </si>
  <si>
    <t>"A terrible decision by the United States Supreme Court opened the flood gates for undisclosed, large contributions to try to buy the political process," said Governor Mark Dayton. "This is the Republican Party's attempt in Minnesota to extend that statewide, and open the floodgates still further. I salute the legislators who are here today for their strong opposition, and I join them in that opposition."</t>
  </si>
  <si>
    <t>The passage alleges that undisclosed large contributions are used "to try to buy the political process," which implies powerful donors are influencing politics in a hidden way. It also frames this as "the Republican Party's attempt" to "open the floodgates still further," suggesting an organized effort to expand that influence. However, it does not clearly describe secret coordination among multiple powerful actors beyond a general claim about money in politics, so the collusion implication is present but not explicit. A higher score would require clearer claims of covert coordination or conspiracy, while a lower score would fit if it only criticized a policy without implying hidden influence.</t>
  </si>
  <si>
    <t>The paragraph criticizes a Supreme Court decision and claims it enabled "undisclosed, large contributions" that "try to buy the political process," but it does not explicitly assert a secret agreement or coordinated conspiracy among multiple powerful actors. The mention of the "Republican Party's attempt" reads as a public political strategy rather than covert collusion. Because the language focuses on the effects of disclosure rules and political spending, the collusion inference is limited and not clearly stated. A score of 1 would ignore the "undisclosed" and "buy the political process" cues, while higher scores would require explicit claims of behind-the-scenes coordination.</t>
  </si>
  <si>
    <t>q_108985_8_1</t>
  </si>
  <si>
    <t>Many of the JDRF advocates that have visited Members of Congress are not to be faulted for this misinformation. They are simply sharing with you what those running JDRF's Hill advocacy program have told them. In fact, the patients and families selected to participate in the 2005 JDRF Children's Congress in Washington were required to assign a loyalty oath agreeing to support the JDRF position on these issues. The loyalty oath found on that application, which I have blown up, and I have next to me right here states, ``If there is a discussion of such controversial topics as embryonic stem cell research, I will either embrace the JDRF legislative position on such topics or will not work against the JDRF position.''</t>
  </si>
  <si>
    <t>The passage alleges coordinated message control by those “running JDRF's Hill advocacy program,” including requiring selected families to sign a “loyalty oath” to “either embrace the JDRF legislative position… or will not work against” it. This suggests an organized effort by an advocacy organization to shape what constituents tell Congress, which could be read as a form of behind-the-scenes coordination, but it is not clearly framed as a secret conspiracy by multiple powerful actors against the American people. The focus is on internal advocacy discipline and misinformation rather than covert collusion among elites or government actors. A higher score would require explicit claims of secret coordination among multiple powerful institutions to undermine the public interest; a lower score would fit if it were merely criticism of advocacy tactics without any implication of coordinated manipulation.</t>
  </si>
  <si>
    <t>The paragraph criticizes JDRF’s advocacy leadership for spreading “misinformation” and using a “loyalty oath” to enforce adherence to its “legislative position,” but it does not explicitly claim secret collusion among multiple powerful actors. The described conduct is overt (an application requirement the speaker says they have “right here”) rather than covert coordination. It reads as an accusation of organizational pressure and message management, not a conspiracy to manipulate events through hidden cooperation. A higher score would require clearer language about clandestine coordination with other powerful entities (e.g., Congress, industry, or government) to act against the public.</t>
  </si>
  <si>
    <t>MANUAL REVIEW CODEBOOK</t>
  </si>
  <si>
    <t>SECTION</t>
  </si>
  <si>
    <t>Column</t>
  </si>
  <si>
    <t>What to code</t>
  </si>
  <si>
    <t>Why it matters</t>
  </si>
  <si>
    <t>DW — Dog-Whistle Mechanisms</t>
  </si>
  <si>
    <t>DW_power_actor</t>
  </si>
  <si>
    <t>1 if paragraph refers to elites, establishment, globalists, media, bureaucrats, corporations, 'they', or shadow actors</t>
  </si>
  <si>
    <t>Necessary but NOT sufficient condition for DW collusion</t>
  </si>
  <si>
    <t>DW_hidden_intent</t>
  </si>
  <si>
    <t>Most common GPT over-trigger point</t>
  </si>
  <si>
    <t>DW_victim_frame</t>
  </si>
  <si>
    <t>Moral contrast is core DW rhetorical structure</t>
  </si>
  <si>
    <t>DW_implied_coordination</t>
  </si>
  <si>
    <t>1 if actors seem to move together WITHOUT explicitly stating it (e.g. 'media and big tech always seem to move together')</t>
  </si>
  <si>
    <t>⭐ MOST IMPORTANT DW mechanism — tests implicit collusion</t>
  </si>
  <si>
    <t>DW_ambiguous</t>
  </si>
  <si>
    <t>Tests whether GPT treats ambiguity as collusion — key calibration check</t>
  </si>
  <si>
    <t>Auto-calculated: sum of the 5 DW checks above (0–5)</t>
  </si>
  <si>
    <t>High sum + low GPT score = under-scoring; Low sum + high GPT score = over-scoring</t>
  </si>
  <si>
    <t>EC — Explicit Collusion Mechanisms</t>
  </si>
  <si>
    <t>EC_direct_collusion</t>
  </si>
  <si>
    <t>Defining feature of explicit collusion — must be direct, not implied</t>
  </si>
  <si>
    <t>EC_named_actors</t>
  </si>
  <si>
    <t>1 if specific groups are named (e.g. 'The Democrats and Silicon Valley', 'Biden admin and big pharma')</t>
  </si>
  <si>
    <t>Explicit collusion usually names actors; vague 'they' alone doesn't qualify</t>
  </si>
  <si>
    <t>EC_intentional_harm</t>
  </si>
  <si>
    <t>1 if the passage asserts deliberate manipulation, intentional deception, or purposeful conspiracy (coordination alone ≠ conspiracy)</t>
  </si>
  <si>
    <t>Must involve malicious intent, not just coordination</t>
  </si>
  <si>
    <t>EC_secret_meeting</t>
  </si>
  <si>
    <t>1 if the passage claims secret meetings, backroom deals, or hidden agreements</t>
  </si>
  <si>
    <t>Strengthens explicit collusion — rarely present in dog-whistle speech</t>
  </si>
  <si>
    <t>EC_claim_of_evidence</t>
  </si>
  <si>
    <t>1 if speaker claims 'we have proof', 'documents show', 'whistleblowers revealed'</t>
  </si>
  <si>
    <t>Often increases GPT score; check whether GPT appropriately uses this</t>
  </si>
  <si>
    <t>Auto-calculated: sum of the 5 EC checks above (0–5)</t>
  </si>
  <si>
    <t>HOW TO INTERPRET GAPS</t>
  </si>
  <si>
    <t>Pattern</t>
  </si>
  <si>
    <t>Likely Problem</t>
  </si>
  <si>
    <t>DW_mechanism_sum high (3–5), GPT DW score low (1–2)</t>
  </si>
  <si>
    <t>GPT missed implicit signals — DW prompt under-triggered</t>
  </si>
  <si>
    <t>DW_mechanism_sum low (0–1), GPT DW score high (4–5)</t>
  </si>
  <si>
    <t>GPT over-triggered on ambiguous language — DW prompt too sensitive</t>
  </si>
  <si>
    <t>EC_mechanism_sum high (3–5), GPT EC score low (1–2)</t>
  </si>
  <si>
    <t>GPT missed explicit signals — EC prompt under-triggered</t>
  </si>
  <si>
    <t>EC_mechanism_sum low (0–1), GPT EC score high (4–5)</t>
  </si>
  <si>
    <t>GPT over-triggered — EC prompt failed to restrict</t>
  </si>
  <si>
    <t>DW score == EC score throughout</t>
  </si>
  <si>
    <t>Prompts may not be differentiating — check if DW is actually broader</t>
  </si>
  <si>
    <t>EC score &gt; DW score</t>
  </si>
  <si>
    <t>Error — EC is always the more conservative scorer; something went wrong</t>
  </si>
  <si>
    <t>DW_sum</t>
  </si>
  <si>
    <t>EC_sum</t>
  </si>
  <si>
    <t>DW_Sum</t>
  </si>
  <si>
    <t>EC_Sum</t>
  </si>
  <si>
    <t>DW_conspiracy_cues</t>
  </si>
  <si>
    <t>1 if paragraph uses recognizable conspiracy or cover-up cue language, even without explicitly stating coordination.</t>
  </si>
  <si>
    <t>Tests whether GPT responds strongly to rhetorical conspiracy signals independent of explicit collusion structure.</t>
  </si>
  <si>
    <t>1 if “the people,” a community, or the nation is framed as betrayed, manipulated, harmed, or deliberately disadvantaged by powerful actors.</t>
  </si>
  <si>
    <t>1 if the paragraph contains suspicion-oriented rhetoric about powerful actors but stops short of clearly asserting coordination or conspiracy, such that it could reasonably be interpreted as ordinary political criticism.</t>
  </si>
  <si>
    <t>1 if the paragraph alleges intentional deception, concealment, manipulation, or hidden motives by powerful actors, without explicitly asserting coordinated action between multiple actors.</t>
  </si>
  <si>
    <t>1 if the paragraph explicitly asserts that two or more distinct actors worked together in a coordinated or conspiratorial manner to achieve a shared outcome. The coordination must be clearly stated, not merely implied.</t>
  </si>
  <si>
    <t>Ask_ferenc</t>
  </si>
  <si>
    <t>Flag_Removed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</si>
</sst>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9"/>
      <color rgb="FFFFFFFF"/>
      <name val="Arial"/>
      <family val="2"/>
    </font>
    <font>
      <sz val="9"/>
      <name val="Arial"/>
      <family val="2"/>
    </font>
    <font>
      <b/>
      <sz val="10"/>
      <name val="Arial"/>
      <family val="2"/>
    </font>
    <font>
      <b/>
      <sz val="11"/>
      <color rgb="FF7B2D8B"/>
      <name val="Arial"/>
      <family val="2"/>
    </font>
    <font>
      <b/>
      <sz val="10"/>
      <color rgb="FF5A1070"/>
      <name val="Arial"/>
      <family val="2"/>
    </font>
    <font>
      <b/>
      <sz val="11"/>
      <color rgb="FF1D5C8C"/>
      <name val="Arial"/>
      <family val="2"/>
    </font>
    <font>
      <b/>
      <sz val="10"/>
      <color rgb="FF0D3B66"/>
      <name val="Arial"/>
      <family val="2"/>
    </font>
    <font>
      <b/>
      <sz val="14"/>
      <color rgb="FF1F3864"/>
      <name val="Arial"/>
      <family val="2"/>
    </font>
    <font>
      <b/>
      <sz val="10"/>
      <color rgb="FFFFFFFF"/>
      <name val="Arial"/>
      <family val="2"/>
    </font>
    <font>
      <b/>
      <sz val="9"/>
      <color rgb="FF7B2D8B"/>
      <name val="Arial"/>
      <family val="2"/>
    </font>
    <font>
      <b/>
      <sz val="9"/>
      <color rgb="FF1D5C8C"/>
      <name val="Arial"/>
      <family val="2"/>
    </font>
    <font>
      <sz val="12"/>
      <name val="Arial"/>
      <family val="2"/>
    </font>
    <font>
      <b/>
      <sz val="9"/>
      <color rgb="FFFFFFFF"/>
      <name val="Arial"/>
      <family val="2"/>
    </font>
    <font>
      <b/>
      <sz val="9"/>
      <color rgb="FF7B2D8B"/>
      <name val="Arial"/>
      <family val="2"/>
    </font>
    <font>
      <sz val="9"/>
      <name val="Arial"/>
      <family val="2"/>
    </font>
    <font>
      <b/>
      <sz val="9"/>
      <color theme="6" tint="-0.499984740745262"/>
      <name val="Arial"/>
      <family val="2"/>
    </font>
    <font>
      <b/>
      <sz val="11"/>
      <color theme="6" tint="-0.499984740745262"/>
      <name val="Arial"/>
      <family val="2"/>
    </font>
    <font>
      <sz val="11"/>
      <name val="Arial"/>
      <family val="2"/>
    </font>
    <font>
      <sz val="11"/>
      <color rgb="FF006100"/>
      <name val="Calibri"/>
      <family val="2"/>
      <scheme val="minor"/>
    </font>
    <font>
      <sz val="11"/>
      <color rgb="FF3F3F76"/>
      <name val="Calibri"/>
      <family val="2"/>
      <scheme val="minor"/>
    </font>
    <font>
      <sz val="11"/>
      <name val="Calibri"/>
      <family val="2"/>
      <scheme val="minor"/>
    </font>
  </fonts>
  <fills count="18">
    <fill>
      <patternFill patternType="none"/>
    </fill>
    <fill>
      <patternFill patternType="gray125"/>
    </fill>
    <fill>
      <patternFill patternType="solid">
        <fgColor rgb="FF1F3864"/>
      </patternFill>
    </fill>
    <fill>
      <patternFill patternType="solid">
        <fgColor rgb="FF2E4057"/>
      </patternFill>
    </fill>
    <fill>
      <patternFill patternType="solid">
        <fgColor rgb="FF7B2D8B"/>
      </patternFill>
    </fill>
    <fill>
      <patternFill patternType="solid">
        <fgColor rgb="FF1D5C8C"/>
      </patternFill>
    </fill>
    <fill>
      <patternFill patternType="solid">
        <fgColor rgb="FFF5F0FA"/>
      </patternFill>
    </fill>
    <fill>
      <patternFill patternType="solid">
        <fgColor rgb="FFFFF9E6"/>
      </patternFill>
    </fill>
    <fill>
      <patternFill patternType="solid">
        <fgColor rgb="FFF3E8FF"/>
      </patternFill>
    </fill>
    <fill>
      <patternFill patternType="solid">
        <fgColor rgb="FFEDD6FF"/>
      </patternFill>
    </fill>
    <fill>
      <patternFill patternType="solid">
        <fgColor rgb="FFE8F4FF"/>
      </patternFill>
    </fill>
    <fill>
      <patternFill patternType="solid">
        <fgColor rgb="FFC8E6FF"/>
      </patternFill>
    </fill>
    <fill>
      <patternFill patternType="solid">
        <fgColor rgb="FFFFFFFF"/>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rgb="FFC6EFCE"/>
      </patternFill>
    </fill>
    <fill>
      <patternFill patternType="solid">
        <fgColor rgb="FFFFCC99"/>
      </patternFill>
    </fill>
  </fills>
  <borders count="9">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FF7F7F7F"/>
      </left>
      <right style="thin">
        <color rgb="FF7F7F7F"/>
      </right>
      <top style="thin">
        <color rgb="FF7F7F7F"/>
      </top>
      <bottom style="thin">
        <color rgb="FF7F7F7F"/>
      </bottom>
      <diagonal/>
    </border>
    <border>
      <left style="thin">
        <color rgb="FFCCCCCC"/>
      </left>
      <right style="thin">
        <color rgb="FFCCCCCC"/>
      </right>
      <top/>
      <bottom/>
      <diagonal/>
    </border>
    <border>
      <left style="thin">
        <color rgb="FFCCCCCC"/>
      </left>
      <right/>
      <top/>
      <bottom/>
      <diagonal/>
    </border>
    <border>
      <left style="thin">
        <color rgb="FF7F7F7F"/>
      </left>
      <right style="thin">
        <color rgb="FF7F7F7F"/>
      </right>
      <top/>
      <bottom/>
      <diagonal/>
    </border>
  </borders>
  <cellStyleXfs count="3">
    <xf numFmtId="0" fontId="0" fillId="0" borderId="0"/>
    <xf numFmtId="0" fontId="19" fillId="16" borderId="0" applyNumberFormat="0" applyBorder="0" applyAlignment="0" applyProtection="0"/>
    <xf numFmtId="0" fontId="20" fillId="17" borderId="5" applyNumberFormat="0" applyAlignment="0" applyProtection="0"/>
  </cellStyleXfs>
  <cellXfs count="5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6" borderId="1" xfId="0" applyFont="1" applyFill="1" applyBorder="1" applyAlignment="1">
      <alignment vertical="center"/>
    </xf>
    <xf numFmtId="0" fontId="3" fillId="7" borderId="1" xfId="0" applyFont="1" applyFill="1" applyBorder="1" applyAlignment="1">
      <alignment horizontal="center" vertical="center"/>
    </xf>
    <xf numFmtId="0" fontId="2" fillId="6" borderId="1" xfId="0" applyFont="1" applyFill="1" applyBorder="1" applyAlignment="1">
      <alignment vertical="top" wrapText="1"/>
    </xf>
    <xf numFmtId="0" fontId="4" fillId="8" borderId="1" xfId="0" applyFont="1" applyFill="1" applyBorder="1" applyAlignment="1">
      <alignment horizontal="center" vertical="center"/>
    </xf>
    <xf numFmtId="0" fontId="5"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7" fillId="11" borderId="1" xfId="0" applyFont="1" applyFill="1" applyBorder="1" applyAlignment="1">
      <alignment horizontal="center" vertical="center"/>
    </xf>
    <xf numFmtId="0" fontId="2" fillId="12" borderId="1" xfId="0" applyFont="1" applyFill="1" applyBorder="1" applyAlignment="1">
      <alignment vertical="center"/>
    </xf>
    <xf numFmtId="0" fontId="2" fillId="12" borderId="1" xfId="0" applyFont="1" applyFill="1" applyBorder="1" applyAlignment="1">
      <alignment vertical="top" wrapText="1"/>
    </xf>
    <xf numFmtId="0" fontId="8" fillId="0" borderId="1" xfId="0" applyFont="1" applyBorder="1"/>
    <xf numFmtId="0" fontId="0" fillId="0" borderId="1" xfId="0" applyBorder="1"/>
    <xf numFmtId="0" fontId="2" fillId="0" borderId="1" xfId="0" applyFont="1" applyBorder="1" applyAlignment="1">
      <alignment vertical="top" wrapText="1"/>
    </xf>
    <xf numFmtId="0" fontId="1" fillId="2" borderId="1" xfId="0" applyFont="1" applyFill="1" applyBorder="1" applyAlignment="1">
      <alignment vertical="center" wrapText="1"/>
    </xf>
    <xf numFmtId="0" fontId="9" fillId="4" borderId="1" xfId="0" applyFont="1" applyFill="1" applyBorder="1"/>
    <xf numFmtId="0" fontId="10" fillId="8" borderId="1" xfId="0" applyFont="1" applyFill="1" applyBorder="1" applyAlignment="1">
      <alignment vertical="top" wrapText="1"/>
    </xf>
    <xf numFmtId="0" fontId="9" fillId="5" borderId="1" xfId="0" applyFont="1" applyFill="1" applyBorder="1"/>
    <xf numFmtId="0" fontId="11" fillId="10" borderId="1" xfId="0" applyFont="1" applyFill="1" applyBorder="1" applyAlignment="1">
      <alignment vertical="top" wrapText="1"/>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12" fillId="6" borderId="1" xfId="0" applyFont="1" applyFill="1" applyBorder="1" applyAlignment="1">
      <alignment vertical="center" wrapText="1"/>
    </xf>
    <xf numFmtId="0" fontId="12" fillId="12" borderId="1" xfId="0" applyFont="1" applyFill="1" applyBorder="1" applyAlignment="1">
      <alignment vertical="center" wrapText="1"/>
    </xf>
    <xf numFmtId="0" fontId="13" fillId="4" borderId="1" xfId="0" applyFont="1" applyFill="1" applyBorder="1" applyAlignment="1">
      <alignment horizontal="center" vertical="center"/>
    </xf>
    <xf numFmtId="0" fontId="14" fillId="8" borderId="1" xfId="0" applyFont="1" applyFill="1" applyBorder="1" applyAlignment="1">
      <alignment vertical="top" wrapText="1"/>
    </xf>
    <xf numFmtId="0" fontId="15" fillId="0" borderId="1" xfId="0" applyFont="1" applyBorder="1" applyAlignment="1">
      <alignment vertical="top" wrapText="1"/>
    </xf>
    <xf numFmtId="0" fontId="13" fillId="14" borderId="1" xfId="0" applyFont="1" applyFill="1" applyBorder="1" applyAlignment="1">
      <alignment horizontal="center" vertical="center"/>
    </xf>
    <xf numFmtId="0" fontId="16" fillId="15" borderId="1" xfId="0" applyFont="1" applyFill="1" applyBorder="1" applyAlignment="1">
      <alignment vertical="top" wrapText="1"/>
    </xf>
    <xf numFmtId="0" fontId="17" fillId="13" borderId="1" xfId="0" applyFont="1" applyFill="1" applyBorder="1" applyAlignment="1">
      <alignment horizontal="center" vertical="center"/>
    </xf>
    <xf numFmtId="0" fontId="18" fillId="12" borderId="1" xfId="0" applyFont="1" applyFill="1" applyBorder="1" applyAlignment="1">
      <alignment vertical="center" wrapText="1"/>
    </xf>
    <xf numFmtId="0" fontId="1" fillId="5" borderId="6" xfId="0" applyFont="1" applyFill="1" applyBorder="1" applyAlignment="1">
      <alignment horizontal="center" vertical="center"/>
    </xf>
    <xf numFmtId="0" fontId="6" fillId="10" borderId="6" xfId="0" applyFont="1" applyFill="1" applyBorder="1" applyAlignment="1">
      <alignment horizontal="center" vertical="center"/>
    </xf>
    <xf numFmtId="0" fontId="6" fillId="10" borderId="7" xfId="0" applyFont="1" applyFill="1" applyBorder="1" applyAlignment="1">
      <alignment horizontal="center" vertical="center"/>
    </xf>
    <xf numFmtId="0" fontId="19" fillId="16" borderId="1" xfId="1" applyBorder="1" applyAlignment="1">
      <alignment vertical="center"/>
    </xf>
    <xf numFmtId="0" fontId="19" fillId="16" borderId="1" xfId="1" applyBorder="1" applyAlignment="1">
      <alignment vertical="center" wrapText="1"/>
    </xf>
    <xf numFmtId="0" fontId="19" fillId="16" borderId="1" xfId="1" applyBorder="1" applyAlignment="1">
      <alignment horizontal="center" vertical="center"/>
    </xf>
    <xf numFmtId="0" fontId="19" fillId="16" borderId="1" xfId="1" applyBorder="1" applyAlignment="1">
      <alignment vertical="top" wrapText="1"/>
    </xf>
    <xf numFmtId="0" fontId="19" fillId="16" borderId="6" xfId="1" applyBorder="1" applyAlignment="1">
      <alignment horizontal="center" vertical="center"/>
    </xf>
    <xf numFmtId="0" fontId="21" fillId="16" borderId="1" xfId="1" applyFont="1" applyBorder="1" applyAlignment="1">
      <alignment vertical="center"/>
    </xf>
    <xf numFmtId="0" fontId="21" fillId="16" borderId="1" xfId="1" applyFont="1" applyBorder="1" applyAlignment="1">
      <alignment vertical="center" wrapText="1"/>
    </xf>
    <xf numFmtId="0" fontId="21" fillId="16" borderId="1" xfId="1" applyFont="1" applyBorder="1" applyAlignment="1">
      <alignment horizontal="center" vertical="center"/>
    </xf>
    <xf numFmtId="0" fontId="21" fillId="16" borderId="1" xfId="1" applyFont="1" applyBorder="1" applyAlignment="1">
      <alignment vertical="top" wrapText="1"/>
    </xf>
    <xf numFmtId="0" fontId="21" fillId="16" borderId="7" xfId="1" applyFont="1" applyBorder="1" applyAlignment="1">
      <alignment horizontal="center" vertical="center"/>
    </xf>
    <xf numFmtId="0" fontId="21" fillId="16" borderId="6" xfId="1" applyFont="1" applyBorder="1" applyAlignment="1">
      <alignment horizontal="center" vertical="center"/>
    </xf>
    <xf numFmtId="0" fontId="20" fillId="17" borderId="5" xfId="2" applyAlignment="1">
      <alignment vertical="center"/>
    </xf>
    <xf numFmtId="0" fontId="20" fillId="17" borderId="5" xfId="2" applyAlignment="1">
      <alignment vertical="center" wrapText="1"/>
    </xf>
    <xf numFmtId="0" fontId="20" fillId="17" borderId="5" xfId="2" applyAlignment="1">
      <alignment horizontal="center" vertical="center"/>
    </xf>
    <xf numFmtId="0" fontId="20" fillId="17" borderId="5" xfId="2" applyAlignment="1">
      <alignment vertical="top" wrapText="1"/>
    </xf>
    <xf numFmtId="0" fontId="0" fillId="14"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0" fillId="17" borderId="8" xfId="2" applyBorder="1" applyAlignment="1">
      <alignment horizontal="center" vertical="center"/>
    </xf>
    <xf numFmtId="0" fontId="21" fillId="16" borderId="5" xfId="1" applyFont="1" applyBorder="1" applyAlignment="1">
      <alignment vertical="center"/>
    </xf>
    <xf numFmtId="0" fontId="21" fillId="16" borderId="5" xfId="1" applyFont="1" applyBorder="1" applyAlignment="1">
      <alignment vertical="center" wrapText="1"/>
    </xf>
    <xf numFmtId="0" fontId="21" fillId="16" borderId="5" xfId="1" applyFont="1" applyBorder="1" applyAlignment="1">
      <alignment horizontal="center" vertical="center"/>
    </xf>
    <xf numFmtId="0" fontId="21" fillId="16" borderId="5" xfId="1" applyFont="1" applyBorder="1" applyAlignment="1">
      <alignment vertical="top" wrapText="1"/>
    </xf>
  </cellXfs>
  <cellStyles count="3">
    <cellStyle name="Good" xfId="1" builtinId="26"/>
    <cellStyle name="Input" xfId="2" builtinId="2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83"/>
  <sheetViews>
    <sheetView tabSelected="1" zoomScaleNormal="100" workbookViewId="0">
      <pane xSplit="3" ySplit="1" topLeftCell="O14" activePane="bottomRight" state="frozen"/>
      <selection pane="topRight"/>
      <selection pane="bottomLeft"/>
      <selection pane="bottomRight" activeCell="Z33" sqref="Z33"/>
    </sheetView>
  </sheetViews>
  <sheetFormatPr defaultColWidth="8.85546875" defaultRowHeight="15" x14ac:dyDescent="0.25"/>
  <cols>
    <col min="1" max="1" width="22" customWidth="1"/>
    <col min="2" max="2" width="12" customWidth="1"/>
    <col min="3" max="3" width="59.42578125" customWidth="1"/>
    <col min="4" max="5" width="8" customWidth="1"/>
    <col min="6" max="7" width="45" customWidth="1"/>
    <col min="8" max="12" width="21.7109375" customWidth="1"/>
    <col min="13" max="13" width="13.28515625" customWidth="1"/>
    <col min="14" max="14" width="17.42578125" bestFit="1" customWidth="1"/>
    <col min="15" max="15" width="16.140625" bestFit="1" customWidth="1"/>
    <col min="16" max="16" width="18.140625" bestFit="1" customWidth="1"/>
    <col min="17" max="17" width="17.28515625" bestFit="1" customWidth="1"/>
    <col min="18" max="18" width="19.7109375" bestFit="1" customWidth="1"/>
    <col min="19" max="19" width="10.7109375" bestFit="1" customWidth="1"/>
    <col min="20" max="20" width="21.7109375" customWidth="1"/>
  </cols>
  <sheetData>
    <row r="1" spans="1:22" ht="84" customHeight="1" x14ac:dyDescent="0.25">
      <c r="A1" s="1" t="s">
        <v>0</v>
      </c>
      <c r="B1" s="1" t="s">
        <v>1</v>
      </c>
      <c r="C1" s="1" t="s">
        <v>2</v>
      </c>
      <c r="D1" s="2" t="s">
        <v>3</v>
      </c>
      <c r="E1" s="2" t="s">
        <v>4</v>
      </c>
      <c r="F1" s="2" t="s">
        <v>5</v>
      </c>
      <c r="G1" s="2" t="s">
        <v>6</v>
      </c>
      <c r="H1" s="22" t="s">
        <v>344</v>
      </c>
      <c r="I1" s="22" t="s">
        <v>347</v>
      </c>
      <c r="J1" s="22" t="s">
        <v>349</v>
      </c>
      <c r="K1" s="22" t="s">
        <v>351</v>
      </c>
      <c r="L1" s="26" t="s">
        <v>393</v>
      </c>
      <c r="M1" s="3" t="s">
        <v>391</v>
      </c>
      <c r="N1" s="23" t="s">
        <v>359</v>
      </c>
      <c r="O1" s="23" t="s">
        <v>361</v>
      </c>
      <c r="P1" s="23" t="s">
        <v>364</v>
      </c>
      <c r="Q1" s="23" t="s">
        <v>367</v>
      </c>
      <c r="R1" s="23" t="s">
        <v>370</v>
      </c>
      <c r="S1" s="4" t="s">
        <v>392</v>
      </c>
      <c r="T1" s="29" t="s">
        <v>354</v>
      </c>
      <c r="U1" s="33" t="s">
        <v>401</v>
      </c>
      <c r="V1" s="33" t="s">
        <v>400</v>
      </c>
    </row>
    <row r="2" spans="1:22" ht="204" x14ac:dyDescent="0.25">
      <c r="A2" s="5" t="s">
        <v>7</v>
      </c>
      <c r="B2" s="5" t="s">
        <v>8</v>
      </c>
      <c r="C2" s="24" t="s">
        <v>9</v>
      </c>
      <c r="D2" s="6">
        <v>4</v>
      </c>
      <c r="E2" s="6">
        <v>3</v>
      </c>
      <c r="F2" s="7" t="s">
        <v>10</v>
      </c>
      <c r="G2" s="7" t="s">
        <v>11</v>
      </c>
      <c r="H2" s="8">
        <v>0</v>
      </c>
      <c r="I2" s="8">
        <v>0</v>
      </c>
      <c r="J2" s="8">
        <v>0</v>
      </c>
      <c r="K2" s="8">
        <v>0</v>
      </c>
      <c r="L2" s="8">
        <v>0</v>
      </c>
      <c r="M2" s="9">
        <f t="shared" ref="M2:M33" si="0">H2+I2+J2+K2+L2</f>
        <v>0</v>
      </c>
      <c r="N2" s="10">
        <v>0</v>
      </c>
      <c r="O2" s="10">
        <v>0</v>
      </c>
      <c r="P2" s="10">
        <v>0</v>
      </c>
      <c r="Q2" s="10">
        <v>0</v>
      </c>
      <c r="R2" s="10">
        <v>0</v>
      </c>
      <c r="S2" s="11">
        <f>N2+O2+P2+Q2+R2</f>
        <v>0</v>
      </c>
      <c r="T2" s="31">
        <v>1</v>
      </c>
      <c r="U2" s="34">
        <v>0</v>
      </c>
    </row>
    <row r="3" spans="1:22" ht="195" x14ac:dyDescent="0.25">
      <c r="A3" s="12" t="s">
        <v>12</v>
      </c>
      <c r="B3" s="12" t="s">
        <v>13</v>
      </c>
      <c r="C3" s="25" t="s">
        <v>14</v>
      </c>
      <c r="D3" s="6">
        <v>3</v>
      </c>
      <c r="E3" s="6">
        <v>2</v>
      </c>
      <c r="F3" s="13" t="s">
        <v>15</v>
      </c>
      <c r="G3" s="13" t="s">
        <v>16</v>
      </c>
      <c r="H3" s="8">
        <v>0</v>
      </c>
      <c r="I3" s="8">
        <v>1</v>
      </c>
      <c r="J3" s="8">
        <v>1</v>
      </c>
      <c r="K3" s="8">
        <v>1</v>
      </c>
      <c r="L3" s="8">
        <v>0</v>
      </c>
      <c r="M3" s="9">
        <f t="shared" si="0"/>
        <v>3</v>
      </c>
      <c r="N3" s="10">
        <v>0</v>
      </c>
      <c r="O3" s="10">
        <v>0</v>
      </c>
      <c r="P3" s="10">
        <v>1</v>
      </c>
      <c r="Q3" s="10">
        <v>0</v>
      </c>
      <c r="R3" s="10">
        <v>0</v>
      </c>
      <c r="S3" s="11">
        <f t="shared" ref="S3:S33" si="1">N3+O3+P3+Q3+R3</f>
        <v>1</v>
      </c>
      <c r="T3" s="31">
        <v>1</v>
      </c>
      <c r="U3" s="34">
        <v>0</v>
      </c>
    </row>
    <row r="4" spans="1:22" ht="156" x14ac:dyDescent="0.25">
      <c r="A4" s="5" t="s">
        <v>17</v>
      </c>
      <c r="B4" s="5" t="s">
        <v>8</v>
      </c>
      <c r="C4" s="24" t="s">
        <v>18</v>
      </c>
      <c r="D4" s="6">
        <v>3</v>
      </c>
      <c r="E4" s="6">
        <v>2</v>
      </c>
      <c r="F4" s="7" t="s">
        <v>19</v>
      </c>
      <c r="G4" s="7" t="s">
        <v>20</v>
      </c>
      <c r="H4" s="8">
        <v>1</v>
      </c>
      <c r="I4" s="8">
        <v>1</v>
      </c>
      <c r="J4" s="8">
        <v>0</v>
      </c>
      <c r="K4" s="8">
        <v>1</v>
      </c>
      <c r="L4" s="8">
        <v>0</v>
      </c>
      <c r="M4" s="9">
        <f t="shared" si="0"/>
        <v>3</v>
      </c>
      <c r="N4" s="10">
        <v>1</v>
      </c>
      <c r="O4" s="10">
        <v>1</v>
      </c>
      <c r="P4" s="10">
        <v>1</v>
      </c>
      <c r="Q4" s="10">
        <v>0</v>
      </c>
      <c r="R4" s="10">
        <v>0</v>
      </c>
      <c r="S4" s="11">
        <f t="shared" si="1"/>
        <v>3</v>
      </c>
      <c r="T4" s="31">
        <v>0</v>
      </c>
      <c r="U4" s="34">
        <v>0</v>
      </c>
    </row>
    <row r="5" spans="1:22" ht="180" x14ac:dyDescent="0.25">
      <c r="A5" s="12" t="s">
        <v>21</v>
      </c>
      <c r="B5" s="12"/>
      <c r="C5" s="25" t="s">
        <v>22</v>
      </c>
      <c r="D5" s="6">
        <v>4</v>
      </c>
      <c r="E5" s="6">
        <v>3</v>
      </c>
      <c r="F5" s="13" t="s">
        <v>23</v>
      </c>
      <c r="G5" s="13" t="s">
        <v>24</v>
      </c>
      <c r="H5" s="8">
        <v>1</v>
      </c>
      <c r="I5" s="8">
        <v>0</v>
      </c>
      <c r="J5" s="8">
        <v>1</v>
      </c>
      <c r="K5" s="8">
        <v>0</v>
      </c>
      <c r="L5" s="8">
        <v>1</v>
      </c>
      <c r="M5" s="9">
        <f t="shared" si="0"/>
        <v>3</v>
      </c>
      <c r="N5" s="10">
        <v>0</v>
      </c>
      <c r="O5" s="10">
        <v>1</v>
      </c>
      <c r="P5" s="10">
        <v>0</v>
      </c>
      <c r="Q5" s="10">
        <v>0</v>
      </c>
      <c r="R5" s="10">
        <v>1</v>
      </c>
      <c r="S5" s="11">
        <f t="shared" si="1"/>
        <v>2</v>
      </c>
      <c r="T5" s="31">
        <v>0</v>
      </c>
      <c r="U5" s="34">
        <v>0</v>
      </c>
    </row>
    <row r="6" spans="1:22" ht="180" x14ac:dyDescent="0.25">
      <c r="A6" s="5" t="s">
        <v>25</v>
      </c>
      <c r="B6" s="5" t="s">
        <v>13</v>
      </c>
      <c r="C6" s="24" t="s">
        <v>26</v>
      </c>
      <c r="D6" s="6">
        <v>3</v>
      </c>
      <c r="E6" s="6">
        <v>2</v>
      </c>
      <c r="F6" s="7" t="s">
        <v>27</v>
      </c>
      <c r="G6" s="7" t="s">
        <v>28</v>
      </c>
      <c r="H6" s="8">
        <v>0</v>
      </c>
      <c r="I6" s="8">
        <v>1</v>
      </c>
      <c r="J6" s="8">
        <v>0</v>
      </c>
      <c r="K6" s="8">
        <v>1</v>
      </c>
      <c r="L6" s="8">
        <v>1</v>
      </c>
      <c r="M6" s="9">
        <f t="shared" si="0"/>
        <v>3</v>
      </c>
      <c r="N6" s="10">
        <v>1</v>
      </c>
      <c r="O6" s="10">
        <v>0</v>
      </c>
      <c r="P6" s="10">
        <v>0</v>
      </c>
      <c r="Q6" s="10">
        <v>0</v>
      </c>
      <c r="R6" s="10">
        <v>0</v>
      </c>
      <c r="S6" s="11">
        <f t="shared" si="1"/>
        <v>1</v>
      </c>
      <c r="T6" s="31">
        <v>0</v>
      </c>
      <c r="U6" s="34">
        <v>0</v>
      </c>
    </row>
    <row r="7" spans="1:22" ht="216" x14ac:dyDescent="0.25">
      <c r="A7" s="12" t="s">
        <v>29</v>
      </c>
      <c r="B7" s="12" t="s">
        <v>8</v>
      </c>
      <c r="C7" s="25" t="s">
        <v>30</v>
      </c>
      <c r="D7" s="6">
        <v>4</v>
      </c>
      <c r="E7" s="6">
        <v>3</v>
      </c>
      <c r="F7" s="13" t="s">
        <v>31</v>
      </c>
      <c r="G7" s="13" t="s">
        <v>32</v>
      </c>
      <c r="H7" s="8">
        <v>1</v>
      </c>
      <c r="I7" s="8">
        <v>1</v>
      </c>
      <c r="J7" s="8">
        <v>1</v>
      </c>
      <c r="K7" s="8">
        <v>1</v>
      </c>
      <c r="L7" s="8">
        <v>0</v>
      </c>
      <c r="M7" s="9">
        <f t="shared" si="0"/>
        <v>4</v>
      </c>
      <c r="N7" s="10">
        <v>0</v>
      </c>
      <c r="O7" s="10">
        <v>1</v>
      </c>
      <c r="P7" s="10">
        <v>1</v>
      </c>
      <c r="Q7" s="10">
        <v>0</v>
      </c>
      <c r="R7" s="10">
        <v>0</v>
      </c>
      <c r="S7" s="11">
        <f t="shared" si="1"/>
        <v>2</v>
      </c>
      <c r="T7" s="31">
        <v>0</v>
      </c>
      <c r="U7" s="34">
        <v>0</v>
      </c>
    </row>
    <row r="8" spans="1:22" ht="180" x14ac:dyDescent="0.25">
      <c r="A8" s="5" t="s">
        <v>33</v>
      </c>
      <c r="B8" s="5" t="s">
        <v>8</v>
      </c>
      <c r="C8" s="24" t="s">
        <v>34</v>
      </c>
      <c r="D8" s="6">
        <v>3</v>
      </c>
      <c r="E8" s="6">
        <v>2</v>
      </c>
      <c r="F8" s="7" t="s">
        <v>35</v>
      </c>
      <c r="G8" s="7" t="s">
        <v>36</v>
      </c>
      <c r="H8" s="8">
        <v>1</v>
      </c>
      <c r="I8" s="8">
        <v>0</v>
      </c>
      <c r="J8" s="8">
        <v>1</v>
      </c>
      <c r="K8" s="8">
        <v>1</v>
      </c>
      <c r="L8" s="8">
        <v>0</v>
      </c>
      <c r="M8" s="9">
        <f t="shared" si="0"/>
        <v>3</v>
      </c>
      <c r="N8" s="10">
        <v>0</v>
      </c>
      <c r="O8" s="10">
        <v>1</v>
      </c>
      <c r="P8" s="10">
        <v>0</v>
      </c>
      <c r="Q8" s="10">
        <v>0</v>
      </c>
      <c r="R8" s="10">
        <v>0</v>
      </c>
      <c r="S8" s="11">
        <f t="shared" si="1"/>
        <v>1</v>
      </c>
      <c r="T8" s="31">
        <v>1</v>
      </c>
      <c r="U8" s="34">
        <v>0</v>
      </c>
    </row>
    <row r="9" spans="1:22" ht="180" x14ac:dyDescent="0.25">
      <c r="A9" s="12" t="s">
        <v>37</v>
      </c>
      <c r="B9" s="12" t="s">
        <v>8</v>
      </c>
      <c r="C9" s="25" t="s">
        <v>38</v>
      </c>
      <c r="D9" s="6">
        <v>3</v>
      </c>
      <c r="E9" s="6">
        <v>2</v>
      </c>
      <c r="F9" s="13" t="s">
        <v>39</v>
      </c>
      <c r="G9" s="13" t="s">
        <v>40</v>
      </c>
      <c r="H9" s="8">
        <v>0</v>
      </c>
      <c r="I9" s="8">
        <v>0</v>
      </c>
      <c r="J9" s="8">
        <v>1</v>
      </c>
      <c r="K9" s="8">
        <v>1</v>
      </c>
      <c r="L9" s="8">
        <v>0</v>
      </c>
      <c r="M9" s="9">
        <f t="shared" si="0"/>
        <v>2</v>
      </c>
      <c r="N9" s="10">
        <v>0</v>
      </c>
      <c r="O9" s="10">
        <v>0</v>
      </c>
      <c r="P9" s="10">
        <v>1</v>
      </c>
      <c r="Q9" s="10">
        <v>0</v>
      </c>
      <c r="R9" s="10">
        <v>0</v>
      </c>
      <c r="S9" s="11">
        <f t="shared" si="1"/>
        <v>1</v>
      </c>
      <c r="T9" s="31">
        <v>1</v>
      </c>
      <c r="U9" s="34">
        <v>0</v>
      </c>
    </row>
    <row r="10" spans="1:22" ht="132" x14ac:dyDescent="0.25">
      <c r="A10" s="5" t="s">
        <v>41</v>
      </c>
      <c r="B10" s="5" t="s">
        <v>8</v>
      </c>
      <c r="C10" s="24" t="s">
        <v>42</v>
      </c>
      <c r="D10" s="6">
        <v>4</v>
      </c>
      <c r="E10" s="6">
        <v>3</v>
      </c>
      <c r="F10" s="7" t="s">
        <v>43</v>
      </c>
      <c r="G10" s="7" t="s">
        <v>44</v>
      </c>
      <c r="H10" s="8">
        <v>1</v>
      </c>
      <c r="I10" s="8">
        <v>1</v>
      </c>
      <c r="J10" s="8">
        <v>0</v>
      </c>
      <c r="K10" s="8">
        <v>1</v>
      </c>
      <c r="L10" s="8">
        <v>1</v>
      </c>
      <c r="M10" s="9">
        <f t="shared" si="0"/>
        <v>4</v>
      </c>
      <c r="N10" s="10">
        <v>1</v>
      </c>
      <c r="O10" s="10">
        <v>1</v>
      </c>
      <c r="P10" s="10">
        <v>0</v>
      </c>
      <c r="Q10" s="10">
        <v>1</v>
      </c>
      <c r="R10" s="10">
        <v>1</v>
      </c>
      <c r="S10" s="11">
        <f t="shared" si="1"/>
        <v>4</v>
      </c>
      <c r="T10" s="31">
        <v>0</v>
      </c>
      <c r="U10" s="34">
        <v>0</v>
      </c>
    </row>
    <row r="11" spans="1:22" ht="180" x14ac:dyDescent="0.25">
      <c r="A11" s="12" t="s">
        <v>45</v>
      </c>
      <c r="B11" s="12" t="s">
        <v>13</v>
      </c>
      <c r="C11" s="25" t="s">
        <v>46</v>
      </c>
      <c r="D11" s="6">
        <v>4</v>
      </c>
      <c r="E11" s="6">
        <v>3</v>
      </c>
      <c r="F11" s="13" t="s">
        <v>47</v>
      </c>
      <c r="G11" s="13" t="s">
        <v>48</v>
      </c>
      <c r="H11" s="8">
        <v>1</v>
      </c>
      <c r="I11" s="8">
        <v>1</v>
      </c>
      <c r="J11" s="8">
        <v>1</v>
      </c>
      <c r="K11" s="8">
        <v>1</v>
      </c>
      <c r="L11" s="8">
        <v>0</v>
      </c>
      <c r="M11" s="9">
        <f t="shared" si="0"/>
        <v>4</v>
      </c>
      <c r="N11" s="10">
        <v>1</v>
      </c>
      <c r="O11" s="10">
        <v>1</v>
      </c>
      <c r="P11" s="10">
        <v>1</v>
      </c>
      <c r="Q11" s="10">
        <v>0</v>
      </c>
      <c r="R11" s="10">
        <v>1</v>
      </c>
      <c r="S11" s="11">
        <f t="shared" si="1"/>
        <v>4</v>
      </c>
      <c r="T11" s="31">
        <v>0</v>
      </c>
      <c r="U11" s="34">
        <v>0</v>
      </c>
    </row>
    <row r="12" spans="1:22" ht="192" x14ac:dyDescent="0.25">
      <c r="A12" s="5" t="s">
        <v>49</v>
      </c>
      <c r="B12" s="5" t="s">
        <v>13</v>
      </c>
      <c r="C12" s="24" t="s">
        <v>50</v>
      </c>
      <c r="D12" s="6">
        <v>3</v>
      </c>
      <c r="E12" s="6">
        <v>2</v>
      </c>
      <c r="F12" s="7" t="s">
        <v>51</v>
      </c>
      <c r="G12" s="7" t="s">
        <v>52</v>
      </c>
      <c r="H12" s="8">
        <v>1</v>
      </c>
      <c r="I12" s="8">
        <v>0</v>
      </c>
      <c r="J12" s="8">
        <v>0</v>
      </c>
      <c r="K12" s="8">
        <v>1</v>
      </c>
      <c r="L12" s="8">
        <v>1</v>
      </c>
      <c r="M12" s="9">
        <f t="shared" si="0"/>
        <v>3</v>
      </c>
      <c r="N12" s="10">
        <v>1</v>
      </c>
      <c r="O12" s="10">
        <v>1</v>
      </c>
      <c r="P12" s="10">
        <v>1</v>
      </c>
      <c r="Q12" s="10">
        <v>0</v>
      </c>
      <c r="R12" s="10">
        <v>0</v>
      </c>
      <c r="S12" s="11">
        <f t="shared" si="1"/>
        <v>3</v>
      </c>
      <c r="T12" s="31">
        <v>0</v>
      </c>
      <c r="U12" s="34">
        <v>0</v>
      </c>
    </row>
    <row r="13" spans="1:22" ht="204" x14ac:dyDescent="0.25">
      <c r="A13" s="12" t="s">
        <v>53</v>
      </c>
      <c r="B13" s="12" t="s">
        <v>8</v>
      </c>
      <c r="C13" s="25" t="s">
        <v>54</v>
      </c>
      <c r="D13" s="6">
        <v>4</v>
      </c>
      <c r="E13" s="6">
        <v>3</v>
      </c>
      <c r="F13" s="13" t="s">
        <v>55</v>
      </c>
      <c r="G13" s="13" t="s">
        <v>56</v>
      </c>
      <c r="H13" s="8">
        <v>1</v>
      </c>
      <c r="I13" s="8">
        <v>0</v>
      </c>
      <c r="J13" s="8">
        <v>1</v>
      </c>
      <c r="K13" s="8">
        <v>1</v>
      </c>
      <c r="L13" s="8">
        <v>0</v>
      </c>
      <c r="M13" s="9">
        <f t="shared" si="0"/>
        <v>3</v>
      </c>
      <c r="N13" s="10">
        <v>1</v>
      </c>
      <c r="O13" s="10">
        <v>1</v>
      </c>
      <c r="P13" s="10">
        <v>1</v>
      </c>
      <c r="Q13" s="10">
        <v>0</v>
      </c>
      <c r="R13" s="10">
        <v>0</v>
      </c>
      <c r="S13" s="11">
        <f t="shared" si="1"/>
        <v>3</v>
      </c>
      <c r="T13" s="31">
        <v>0</v>
      </c>
      <c r="U13" s="34">
        <v>0</v>
      </c>
    </row>
    <row r="14" spans="1:22" ht="270" x14ac:dyDescent="0.25">
      <c r="A14" s="47" t="s">
        <v>57</v>
      </c>
      <c r="B14" s="47" t="s">
        <v>8</v>
      </c>
      <c r="C14" s="48" t="s">
        <v>58</v>
      </c>
      <c r="D14" s="49">
        <v>3</v>
      </c>
      <c r="E14" s="49">
        <v>2</v>
      </c>
      <c r="F14" s="50" t="s">
        <v>59</v>
      </c>
      <c r="G14" s="50" t="s">
        <v>60</v>
      </c>
      <c r="H14" s="49">
        <v>1</v>
      </c>
      <c r="I14" s="49">
        <v>0</v>
      </c>
      <c r="J14" s="49">
        <v>1</v>
      </c>
      <c r="K14" s="49">
        <v>0</v>
      </c>
      <c r="L14" s="49">
        <v>0</v>
      </c>
      <c r="M14" s="49">
        <f t="shared" si="0"/>
        <v>2</v>
      </c>
      <c r="N14" s="49">
        <v>0</v>
      </c>
      <c r="O14" s="49">
        <v>1</v>
      </c>
      <c r="P14" s="49">
        <v>0</v>
      </c>
      <c r="Q14" s="49">
        <v>0</v>
      </c>
      <c r="R14" s="49">
        <v>0</v>
      </c>
      <c r="S14" s="49">
        <f t="shared" si="1"/>
        <v>1</v>
      </c>
      <c r="T14" s="49">
        <v>0</v>
      </c>
      <c r="U14" s="49">
        <v>0</v>
      </c>
      <c r="V14" s="54">
        <v>1</v>
      </c>
    </row>
    <row r="15" spans="1:22" ht="204" x14ac:dyDescent="0.25">
      <c r="A15" s="12" t="s">
        <v>61</v>
      </c>
      <c r="B15" s="12" t="s">
        <v>13</v>
      </c>
      <c r="C15" s="25" t="s">
        <v>62</v>
      </c>
      <c r="D15" s="6">
        <v>4</v>
      </c>
      <c r="E15" s="6">
        <v>3</v>
      </c>
      <c r="F15" s="13" t="s">
        <v>63</v>
      </c>
      <c r="G15" s="13" t="s">
        <v>64</v>
      </c>
      <c r="H15" s="8">
        <v>1</v>
      </c>
      <c r="I15" s="8">
        <v>0</v>
      </c>
      <c r="J15" s="8">
        <v>1</v>
      </c>
      <c r="K15" s="8">
        <v>0</v>
      </c>
      <c r="L15" s="8">
        <v>1</v>
      </c>
      <c r="M15" s="9">
        <f t="shared" si="0"/>
        <v>3</v>
      </c>
      <c r="N15" s="10">
        <v>0</v>
      </c>
      <c r="O15" s="10">
        <v>1</v>
      </c>
      <c r="P15" s="10">
        <v>0</v>
      </c>
      <c r="Q15" s="10">
        <v>0</v>
      </c>
      <c r="R15" s="10">
        <v>0</v>
      </c>
      <c r="S15" s="11">
        <f t="shared" si="1"/>
        <v>1</v>
      </c>
      <c r="T15" s="31">
        <v>1</v>
      </c>
      <c r="U15" s="34">
        <v>0</v>
      </c>
    </row>
    <row r="16" spans="1:22" ht="228" x14ac:dyDescent="0.25">
      <c r="A16" s="5" t="s">
        <v>65</v>
      </c>
      <c r="B16" s="5" t="s">
        <v>8</v>
      </c>
      <c r="C16" s="24" t="s">
        <v>66</v>
      </c>
      <c r="D16" s="6">
        <v>4</v>
      </c>
      <c r="E16" s="6">
        <v>3</v>
      </c>
      <c r="F16" s="7" t="s">
        <v>67</v>
      </c>
      <c r="G16" s="7" t="s">
        <v>68</v>
      </c>
      <c r="H16" s="8">
        <v>1</v>
      </c>
      <c r="I16" s="8">
        <v>1</v>
      </c>
      <c r="J16" s="8">
        <v>0</v>
      </c>
      <c r="K16" s="8">
        <v>1</v>
      </c>
      <c r="L16" s="8">
        <v>0</v>
      </c>
      <c r="M16" s="9">
        <f t="shared" si="0"/>
        <v>3</v>
      </c>
      <c r="N16" s="10">
        <v>1</v>
      </c>
      <c r="O16" s="10">
        <v>1</v>
      </c>
      <c r="P16" s="10">
        <v>0</v>
      </c>
      <c r="Q16" s="10">
        <v>0</v>
      </c>
      <c r="R16" s="10">
        <v>0</v>
      </c>
      <c r="S16" s="11">
        <f t="shared" si="1"/>
        <v>2</v>
      </c>
      <c r="T16" s="31">
        <v>0</v>
      </c>
      <c r="U16" s="34">
        <v>0</v>
      </c>
    </row>
    <row r="17" spans="1:21" ht="192" x14ac:dyDescent="0.25">
      <c r="A17" s="12" t="s">
        <v>69</v>
      </c>
      <c r="B17" s="12"/>
      <c r="C17" s="25" t="s">
        <v>70</v>
      </c>
      <c r="D17" s="6">
        <v>4</v>
      </c>
      <c r="E17" s="6">
        <v>3</v>
      </c>
      <c r="F17" s="13" t="s">
        <v>71</v>
      </c>
      <c r="G17" s="13" t="s">
        <v>72</v>
      </c>
      <c r="H17" s="8">
        <v>1</v>
      </c>
      <c r="I17" s="8">
        <v>1</v>
      </c>
      <c r="J17" s="8">
        <v>1</v>
      </c>
      <c r="K17" s="8">
        <v>1</v>
      </c>
      <c r="L17" s="8">
        <v>1</v>
      </c>
      <c r="M17" s="9">
        <f t="shared" si="0"/>
        <v>5</v>
      </c>
      <c r="N17" s="10">
        <v>1</v>
      </c>
      <c r="O17" s="10">
        <v>1</v>
      </c>
      <c r="P17" s="10">
        <v>1</v>
      </c>
      <c r="Q17" s="10">
        <v>0</v>
      </c>
      <c r="R17" s="10">
        <v>0</v>
      </c>
      <c r="S17" s="11">
        <f t="shared" si="1"/>
        <v>3</v>
      </c>
      <c r="T17" s="31">
        <v>0</v>
      </c>
      <c r="U17" s="34">
        <v>0</v>
      </c>
    </row>
    <row r="18" spans="1:21" ht="180" x14ac:dyDescent="0.25">
      <c r="A18" s="5" t="s">
        <v>73</v>
      </c>
      <c r="B18" s="5" t="s">
        <v>13</v>
      </c>
      <c r="C18" s="24" t="s">
        <v>74</v>
      </c>
      <c r="D18" s="6">
        <v>3</v>
      </c>
      <c r="E18" s="6">
        <v>2</v>
      </c>
      <c r="F18" s="7" t="s">
        <v>75</v>
      </c>
      <c r="G18" s="7" t="s">
        <v>76</v>
      </c>
      <c r="H18" s="8">
        <v>0</v>
      </c>
      <c r="I18" s="8">
        <v>1</v>
      </c>
      <c r="J18" s="8">
        <v>1</v>
      </c>
      <c r="K18" s="8">
        <v>0</v>
      </c>
      <c r="L18" s="8">
        <v>0</v>
      </c>
      <c r="M18" s="9">
        <f t="shared" si="0"/>
        <v>2</v>
      </c>
      <c r="N18" s="10">
        <v>0</v>
      </c>
      <c r="O18" s="10">
        <v>0</v>
      </c>
      <c r="P18" s="10">
        <v>0</v>
      </c>
      <c r="Q18" s="10">
        <v>0</v>
      </c>
      <c r="R18" s="10">
        <v>0</v>
      </c>
      <c r="S18" s="11">
        <f t="shared" si="1"/>
        <v>0</v>
      </c>
      <c r="T18" s="31">
        <v>1</v>
      </c>
      <c r="U18" s="34">
        <v>0</v>
      </c>
    </row>
    <row r="19" spans="1:21" ht="210" x14ac:dyDescent="0.25">
      <c r="A19" s="36" t="s">
        <v>77</v>
      </c>
      <c r="B19" s="36" t="s">
        <v>8</v>
      </c>
      <c r="C19" s="37" t="s">
        <v>78</v>
      </c>
      <c r="D19" s="38">
        <v>3</v>
      </c>
      <c r="E19" s="38">
        <v>2</v>
      </c>
      <c r="F19" s="39" t="s">
        <v>79</v>
      </c>
      <c r="G19" s="39" t="s">
        <v>80</v>
      </c>
      <c r="H19" s="38">
        <v>0</v>
      </c>
      <c r="I19" s="38">
        <v>0</v>
      </c>
      <c r="J19" s="38">
        <v>0</v>
      </c>
      <c r="K19" s="38">
        <v>0</v>
      </c>
      <c r="L19" s="38">
        <v>0</v>
      </c>
      <c r="M19" s="38">
        <f t="shared" si="0"/>
        <v>0</v>
      </c>
      <c r="N19" s="38">
        <v>0</v>
      </c>
      <c r="O19" s="38">
        <v>0</v>
      </c>
      <c r="P19" s="38">
        <v>0</v>
      </c>
      <c r="Q19" s="38">
        <v>0</v>
      </c>
      <c r="R19" s="38">
        <v>0</v>
      </c>
      <c r="S19" s="38">
        <f t="shared" si="1"/>
        <v>0</v>
      </c>
      <c r="T19" s="38">
        <v>0</v>
      </c>
      <c r="U19" s="40">
        <v>1</v>
      </c>
    </row>
    <row r="20" spans="1:21" ht="204" x14ac:dyDescent="0.25">
      <c r="A20" s="5" t="s">
        <v>81</v>
      </c>
      <c r="B20" s="5" t="s">
        <v>13</v>
      </c>
      <c r="C20" s="24" t="s">
        <v>82</v>
      </c>
      <c r="D20" s="6">
        <v>4</v>
      </c>
      <c r="E20" s="6">
        <v>3</v>
      </c>
      <c r="F20" s="7" t="s">
        <v>83</v>
      </c>
      <c r="G20" s="7" t="s">
        <v>84</v>
      </c>
      <c r="H20" s="8">
        <v>1</v>
      </c>
      <c r="I20" s="8">
        <v>1</v>
      </c>
      <c r="J20" s="8">
        <v>1</v>
      </c>
      <c r="K20" s="8">
        <v>0</v>
      </c>
      <c r="L20" s="8">
        <v>0</v>
      </c>
      <c r="M20" s="9">
        <f t="shared" si="0"/>
        <v>3</v>
      </c>
      <c r="N20" s="10">
        <v>0</v>
      </c>
      <c r="O20" s="10">
        <v>0</v>
      </c>
      <c r="P20" s="10">
        <v>1</v>
      </c>
      <c r="Q20" s="10">
        <v>0</v>
      </c>
      <c r="R20" s="10">
        <v>0</v>
      </c>
      <c r="S20" s="11">
        <f t="shared" si="1"/>
        <v>1</v>
      </c>
      <c r="T20" s="31">
        <v>1</v>
      </c>
      <c r="U20" s="34">
        <v>0</v>
      </c>
    </row>
    <row r="21" spans="1:21" ht="180" x14ac:dyDescent="0.25">
      <c r="A21" s="12" t="s">
        <v>85</v>
      </c>
      <c r="B21" s="12" t="s">
        <v>8</v>
      </c>
      <c r="C21" s="25" t="s">
        <v>86</v>
      </c>
      <c r="D21" s="6">
        <v>3</v>
      </c>
      <c r="E21" s="6">
        <v>2</v>
      </c>
      <c r="F21" s="13" t="s">
        <v>87</v>
      </c>
      <c r="G21" s="13" t="s">
        <v>88</v>
      </c>
      <c r="H21" s="8">
        <v>1</v>
      </c>
      <c r="I21" s="8">
        <v>1</v>
      </c>
      <c r="J21" s="8">
        <v>0</v>
      </c>
      <c r="K21" s="8">
        <v>1</v>
      </c>
      <c r="L21" s="8">
        <v>1</v>
      </c>
      <c r="M21" s="9">
        <f t="shared" si="0"/>
        <v>4</v>
      </c>
      <c r="N21" s="10">
        <v>1</v>
      </c>
      <c r="O21" s="10">
        <v>1</v>
      </c>
      <c r="P21" s="10">
        <v>1</v>
      </c>
      <c r="Q21" s="10">
        <v>0</v>
      </c>
      <c r="R21" s="10">
        <v>1</v>
      </c>
      <c r="S21" s="11">
        <f t="shared" si="1"/>
        <v>4</v>
      </c>
      <c r="T21" s="31">
        <v>0</v>
      </c>
      <c r="U21" s="34">
        <v>0</v>
      </c>
    </row>
    <row r="22" spans="1:21" ht="225" x14ac:dyDescent="0.25">
      <c r="A22" s="36" t="s">
        <v>89</v>
      </c>
      <c r="B22" s="36" t="s">
        <v>8</v>
      </c>
      <c r="C22" s="37" t="s">
        <v>90</v>
      </c>
      <c r="D22" s="38">
        <v>3</v>
      </c>
      <c r="E22" s="38">
        <v>2</v>
      </c>
      <c r="F22" s="39" t="s">
        <v>91</v>
      </c>
      <c r="G22" s="39" t="s">
        <v>92</v>
      </c>
      <c r="H22" s="38">
        <v>0</v>
      </c>
      <c r="I22" s="38">
        <v>0</v>
      </c>
      <c r="J22" s="38">
        <v>0</v>
      </c>
      <c r="K22" s="38">
        <v>1</v>
      </c>
      <c r="L22" s="38">
        <v>0</v>
      </c>
      <c r="M22" s="38">
        <f t="shared" si="0"/>
        <v>1</v>
      </c>
      <c r="N22" s="38">
        <v>0</v>
      </c>
      <c r="O22" s="38">
        <v>0</v>
      </c>
      <c r="P22" s="38">
        <v>0</v>
      </c>
      <c r="Q22" s="38">
        <v>0</v>
      </c>
      <c r="R22" s="38">
        <v>0</v>
      </c>
      <c r="S22" s="38">
        <f t="shared" si="1"/>
        <v>0</v>
      </c>
      <c r="T22" s="38">
        <v>1</v>
      </c>
      <c r="U22" s="40">
        <v>1</v>
      </c>
    </row>
    <row r="23" spans="1:21" ht="204" x14ac:dyDescent="0.25">
      <c r="A23" s="12" t="s">
        <v>93</v>
      </c>
      <c r="B23" s="12" t="s">
        <v>13</v>
      </c>
      <c r="C23" s="25" t="s">
        <v>94</v>
      </c>
      <c r="D23" s="6">
        <v>3</v>
      </c>
      <c r="E23" s="6">
        <v>2</v>
      </c>
      <c r="F23" s="13" t="s">
        <v>95</v>
      </c>
      <c r="G23" s="13" t="s">
        <v>96</v>
      </c>
      <c r="H23" s="8">
        <v>0</v>
      </c>
      <c r="I23" s="8">
        <v>0</v>
      </c>
      <c r="J23" s="8">
        <v>0</v>
      </c>
      <c r="K23" s="8">
        <v>0</v>
      </c>
      <c r="L23" s="8">
        <v>0</v>
      </c>
      <c r="M23" s="9">
        <f t="shared" si="0"/>
        <v>0</v>
      </c>
      <c r="N23" s="10">
        <v>0</v>
      </c>
      <c r="O23" s="10">
        <v>0</v>
      </c>
      <c r="P23" s="10">
        <v>0</v>
      </c>
      <c r="Q23" s="10">
        <v>0</v>
      </c>
      <c r="R23" s="10">
        <v>0</v>
      </c>
      <c r="S23" s="11">
        <f t="shared" si="1"/>
        <v>0</v>
      </c>
      <c r="T23" s="31">
        <v>1</v>
      </c>
      <c r="U23" s="34">
        <v>0</v>
      </c>
    </row>
    <row r="24" spans="1:21" ht="180" x14ac:dyDescent="0.25">
      <c r="A24" s="5" t="s">
        <v>97</v>
      </c>
      <c r="B24" s="5" t="s">
        <v>8</v>
      </c>
      <c r="C24" s="24" t="s">
        <v>98</v>
      </c>
      <c r="D24" s="6">
        <v>5</v>
      </c>
      <c r="E24" s="6">
        <v>5</v>
      </c>
      <c r="F24" s="7" t="s">
        <v>99</v>
      </c>
      <c r="G24" s="7" t="s">
        <v>100</v>
      </c>
      <c r="H24" s="8">
        <v>1</v>
      </c>
      <c r="I24" s="8">
        <v>1</v>
      </c>
      <c r="J24" s="8">
        <v>1</v>
      </c>
      <c r="K24" s="8">
        <v>1</v>
      </c>
      <c r="L24" s="8">
        <v>0</v>
      </c>
      <c r="M24" s="9">
        <f t="shared" si="0"/>
        <v>4</v>
      </c>
      <c r="N24" s="10">
        <v>1</v>
      </c>
      <c r="O24" s="10">
        <v>1</v>
      </c>
      <c r="P24" s="10">
        <v>1</v>
      </c>
      <c r="Q24" s="10">
        <v>0</v>
      </c>
      <c r="R24" s="10">
        <v>1</v>
      </c>
      <c r="S24" s="11">
        <f t="shared" si="1"/>
        <v>4</v>
      </c>
      <c r="T24" s="31">
        <v>0</v>
      </c>
      <c r="U24" s="34">
        <v>0</v>
      </c>
    </row>
    <row r="25" spans="1:21" ht="210" x14ac:dyDescent="0.25">
      <c r="A25" s="12" t="s">
        <v>101</v>
      </c>
      <c r="B25" s="12" t="s">
        <v>8</v>
      </c>
      <c r="C25" s="25" t="s">
        <v>102</v>
      </c>
      <c r="D25" s="6">
        <v>3</v>
      </c>
      <c r="E25" s="6">
        <v>2</v>
      </c>
      <c r="F25" s="13" t="s">
        <v>103</v>
      </c>
      <c r="G25" s="13" t="s">
        <v>104</v>
      </c>
      <c r="H25" s="8">
        <v>1</v>
      </c>
      <c r="I25" s="8">
        <v>0</v>
      </c>
      <c r="J25" s="8">
        <v>0</v>
      </c>
      <c r="K25" s="8">
        <v>0</v>
      </c>
      <c r="L25" s="8">
        <v>0</v>
      </c>
      <c r="M25" s="9">
        <f t="shared" si="0"/>
        <v>1</v>
      </c>
      <c r="N25" s="10">
        <v>0</v>
      </c>
      <c r="O25" s="10">
        <v>0</v>
      </c>
      <c r="P25" s="10">
        <v>0</v>
      </c>
      <c r="Q25" s="10">
        <v>0</v>
      </c>
      <c r="R25" s="10">
        <v>0</v>
      </c>
      <c r="S25" s="11">
        <f t="shared" si="1"/>
        <v>0</v>
      </c>
      <c r="T25" s="31">
        <v>0</v>
      </c>
      <c r="U25" s="34">
        <v>0</v>
      </c>
    </row>
    <row r="26" spans="1:21" ht="240" x14ac:dyDescent="0.25">
      <c r="A26" s="5" t="s">
        <v>105</v>
      </c>
      <c r="B26" s="5" t="s">
        <v>13</v>
      </c>
      <c r="C26" s="24" t="s">
        <v>106</v>
      </c>
      <c r="D26" s="6">
        <v>3</v>
      </c>
      <c r="E26" s="6">
        <v>2</v>
      </c>
      <c r="F26" s="7" t="s">
        <v>107</v>
      </c>
      <c r="G26" s="7" t="s">
        <v>108</v>
      </c>
      <c r="H26" s="8">
        <v>1</v>
      </c>
      <c r="I26" s="8">
        <v>0</v>
      </c>
      <c r="J26" s="8">
        <v>1</v>
      </c>
      <c r="K26" s="8">
        <v>0</v>
      </c>
      <c r="L26" s="8">
        <v>0</v>
      </c>
      <c r="M26" s="9">
        <f t="shared" si="0"/>
        <v>2</v>
      </c>
      <c r="N26" s="10">
        <v>0</v>
      </c>
      <c r="O26" s="10">
        <v>0</v>
      </c>
      <c r="P26" s="10">
        <v>0</v>
      </c>
      <c r="Q26" s="10">
        <v>0</v>
      </c>
      <c r="R26" s="10">
        <v>0</v>
      </c>
      <c r="S26" s="11">
        <f t="shared" si="1"/>
        <v>0</v>
      </c>
      <c r="T26" s="31">
        <v>1</v>
      </c>
      <c r="U26" s="35">
        <v>0</v>
      </c>
    </row>
    <row r="27" spans="1:21" ht="156" x14ac:dyDescent="0.25">
      <c r="A27" s="12" t="s">
        <v>109</v>
      </c>
      <c r="B27" s="12" t="s">
        <v>8</v>
      </c>
      <c r="C27" s="25" t="s">
        <v>110</v>
      </c>
      <c r="D27" s="6">
        <v>3</v>
      </c>
      <c r="E27" s="6">
        <v>2</v>
      </c>
      <c r="F27" s="13" t="s">
        <v>111</v>
      </c>
      <c r="G27" s="13" t="s">
        <v>112</v>
      </c>
      <c r="H27" s="8">
        <v>1</v>
      </c>
      <c r="I27" s="8">
        <v>0</v>
      </c>
      <c r="J27" s="8">
        <v>0</v>
      </c>
      <c r="K27" s="8">
        <v>1</v>
      </c>
      <c r="L27" s="8">
        <v>0</v>
      </c>
      <c r="M27" s="9">
        <f t="shared" si="0"/>
        <v>2</v>
      </c>
      <c r="N27" s="10">
        <v>0</v>
      </c>
      <c r="O27" s="10">
        <v>1</v>
      </c>
      <c r="P27" s="10">
        <v>0</v>
      </c>
      <c r="Q27" s="10">
        <v>0</v>
      </c>
      <c r="R27" s="10">
        <v>0</v>
      </c>
      <c r="S27" s="11">
        <f t="shared" si="1"/>
        <v>1</v>
      </c>
      <c r="T27" s="31">
        <v>0</v>
      </c>
      <c r="U27" s="35">
        <v>0</v>
      </c>
    </row>
    <row r="28" spans="1:21" ht="210" x14ac:dyDescent="0.25">
      <c r="A28" s="5" t="s">
        <v>113</v>
      </c>
      <c r="B28" s="5" t="s">
        <v>8</v>
      </c>
      <c r="C28" s="24" t="s">
        <v>114</v>
      </c>
      <c r="D28" s="6">
        <v>4</v>
      </c>
      <c r="E28" s="6">
        <v>3</v>
      </c>
      <c r="F28" s="7" t="s">
        <v>115</v>
      </c>
      <c r="G28" s="7" t="s">
        <v>116</v>
      </c>
      <c r="H28" s="8">
        <v>1</v>
      </c>
      <c r="I28" s="8">
        <v>1</v>
      </c>
      <c r="J28" s="8">
        <v>1</v>
      </c>
      <c r="K28" s="8">
        <v>0</v>
      </c>
      <c r="L28" s="8">
        <v>0</v>
      </c>
      <c r="M28" s="9">
        <f t="shared" si="0"/>
        <v>3</v>
      </c>
      <c r="N28" s="10">
        <v>1</v>
      </c>
      <c r="O28" s="10">
        <v>1</v>
      </c>
      <c r="P28" s="10">
        <v>0</v>
      </c>
      <c r="Q28" s="10">
        <v>0</v>
      </c>
      <c r="R28" s="10">
        <v>0</v>
      </c>
      <c r="S28" s="11">
        <f t="shared" si="1"/>
        <v>2</v>
      </c>
      <c r="T28" s="31">
        <v>1</v>
      </c>
    </row>
    <row r="29" spans="1:21" ht="195" x14ac:dyDescent="0.25">
      <c r="A29" s="12" t="s">
        <v>117</v>
      </c>
      <c r="B29" s="12" t="s">
        <v>8</v>
      </c>
      <c r="C29" s="25" t="s">
        <v>118</v>
      </c>
      <c r="D29" s="6">
        <v>3</v>
      </c>
      <c r="E29" s="6">
        <v>2</v>
      </c>
      <c r="F29" s="13" t="s">
        <v>119</v>
      </c>
      <c r="G29" s="13" t="s">
        <v>120</v>
      </c>
      <c r="H29" s="8">
        <v>1</v>
      </c>
      <c r="I29" s="8">
        <v>0</v>
      </c>
      <c r="J29" s="8">
        <v>1</v>
      </c>
      <c r="K29" s="8">
        <v>1</v>
      </c>
      <c r="L29" s="8">
        <v>0</v>
      </c>
      <c r="M29" s="9">
        <f t="shared" si="0"/>
        <v>3</v>
      </c>
      <c r="N29" s="10">
        <v>0</v>
      </c>
      <c r="O29" s="10">
        <v>0</v>
      </c>
      <c r="P29" s="10">
        <v>0</v>
      </c>
      <c r="Q29" s="10">
        <v>0</v>
      </c>
      <c r="R29" s="10">
        <v>0</v>
      </c>
      <c r="S29" s="11">
        <f t="shared" si="1"/>
        <v>0</v>
      </c>
      <c r="T29" s="31">
        <v>0</v>
      </c>
    </row>
    <row r="30" spans="1:21" ht="216" x14ac:dyDescent="0.25">
      <c r="A30" s="5" t="s">
        <v>121</v>
      </c>
      <c r="B30" s="5" t="s">
        <v>13</v>
      </c>
      <c r="C30" s="24" t="s">
        <v>122</v>
      </c>
      <c r="D30" s="6">
        <v>4</v>
      </c>
      <c r="E30" s="6">
        <v>3</v>
      </c>
      <c r="F30" s="7" t="s">
        <v>123</v>
      </c>
      <c r="G30" s="7" t="s">
        <v>124</v>
      </c>
      <c r="H30" s="8">
        <v>1</v>
      </c>
      <c r="I30" s="8">
        <v>1</v>
      </c>
      <c r="J30" s="8">
        <v>1</v>
      </c>
      <c r="K30" s="8">
        <v>0</v>
      </c>
      <c r="L30" s="8">
        <v>0</v>
      </c>
      <c r="M30" s="9">
        <f t="shared" si="0"/>
        <v>3</v>
      </c>
      <c r="N30" s="10">
        <v>1</v>
      </c>
      <c r="O30" s="10">
        <v>1</v>
      </c>
      <c r="P30" s="10">
        <v>1</v>
      </c>
      <c r="Q30" s="10">
        <v>0</v>
      </c>
      <c r="R30" s="10">
        <v>0</v>
      </c>
      <c r="S30" s="11">
        <f t="shared" si="1"/>
        <v>3</v>
      </c>
      <c r="T30" s="31">
        <v>0</v>
      </c>
    </row>
    <row r="31" spans="1:21" ht="180" x14ac:dyDescent="0.25">
      <c r="A31" s="12" t="s">
        <v>125</v>
      </c>
      <c r="B31" s="12" t="s">
        <v>13</v>
      </c>
      <c r="C31" s="25" t="s">
        <v>126</v>
      </c>
      <c r="D31" s="6">
        <v>3</v>
      </c>
      <c r="E31" s="6">
        <v>2</v>
      </c>
      <c r="F31" s="13" t="s">
        <v>127</v>
      </c>
      <c r="G31" s="13" t="s">
        <v>128</v>
      </c>
      <c r="H31" s="8">
        <v>1</v>
      </c>
      <c r="I31" s="8">
        <v>1</v>
      </c>
      <c r="J31" s="8">
        <v>1</v>
      </c>
      <c r="K31" s="8">
        <v>0</v>
      </c>
      <c r="L31" s="8">
        <v>0</v>
      </c>
      <c r="M31" s="9">
        <f t="shared" si="0"/>
        <v>3</v>
      </c>
      <c r="N31" s="10">
        <v>0</v>
      </c>
      <c r="O31" s="10">
        <v>1</v>
      </c>
      <c r="P31" s="10">
        <v>0</v>
      </c>
      <c r="Q31" s="10">
        <v>0</v>
      </c>
      <c r="R31" s="10">
        <v>0</v>
      </c>
      <c r="S31" s="11">
        <f t="shared" si="1"/>
        <v>1</v>
      </c>
      <c r="T31" s="31">
        <v>1</v>
      </c>
    </row>
    <row r="32" spans="1:21" ht="168" x14ac:dyDescent="0.25">
      <c r="A32" s="5" t="s">
        <v>129</v>
      </c>
      <c r="B32" s="5" t="s">
        <v>8</v>
      </c>
      <c r="C32" s="24" t="s">
        <v>130</v>
      </c>
      <c r="D32" s="6">
        <v>3</v>
      </c>
      <c r="E32" s="6">
        <v>2</v>
      </c>
      <c r="F32" s="7" t="s">
        <v>131</v>
      </c>
      <c r="G32" s="7" t="s">
        <v>132</v>
      </c>
      <c r="H32" s="8">
        <v>0</v>
      </c>
      <c r="I32" s="8">
        <v>0</v>
      </c>
      <c r="J32" s="8">
        <v>0</v>
      </c>
      <c r="K32" s="8">
        <v>0</v>
      </c>
      <c r="L32" s="8">
        <v>0</v>
      </c>
      <c r="M32" s="9">
        <f t="shared" si="0"/>
        <v>0</v>
      </c>
      <c r="N32" s="10">
        <v>0</v>
      </c>
      <c r="O32" s="10">
        <v>0</v>
      </c>
      <c r="P32" s="10">
        <v>0</v>
      </c>
      <c r="Q32" s="10">
        <v>0</v>
      </c>
      <c r="R32" s="10">
        <v>0</v>
      </c>
      <c r="S32" s="11">
        <f t="shared" si="1"/>
        <v>0</v>
      </c>
      <c r="T32" s="31">
        <v>0</v>
      </c>
      <c r="U32" s="34">
        <v>0</v>
      </c>
    </row>
    <row r="33" spans="1:21" ht="285" x14ac:dyDescent="0.25">
      <c r="A33" s="55" t="s">
        <v>133</v>
      </c>
      <c r="B33" s="55" t="s">
        <v>8</v>
      </c>
      <c r="C33" s="56" t="s">
        <v>134</v>
      </c>
      <c r="D33" s="57">
        <v>3</v>
      </c>
      <c r="E33" s="57">
        <v>2</v>
      </c>
      <c r="F33" s="58" t="s">
        <v>135</v>
      </c>
      <c r="G33" s="58" t="s">
        <v>136</v>
      </c>
      <c r="H33" s="57">
        <v>1</v>
      </c>
      <c r="I33" s="57">
        <v>0</v>
      </c>
      <c r="J33" s="57">
        <v>1</v>
      </c>
      <c r="K33" s="57">
        <v>0</v>
      </c>
      <c r="L33" s="57">
        <v>0</v>
      </c>
      <c r="M33" s="57">
        <f t="shared" si="0"/>
        <v>2</v>
      </c>
      <c r="N33" s="57">
        <v>1</v>
      </c>
      <c r="O33" s="57">
        <v>0</v>
      </c>
      <c r="P33" s="57">
        <v>0</v>
      </c>
      <c r="Q33" s="57">
        <v>0</v>
      </c>
      <c r="R33" s="57">
        <v>0</v>
      </c>
      <c r="S33" s="57">
        <f t="shared" si="1"/>
        <v>1</v>
      </c>
      <c r="T33" s="57">
        <v>0</v>
      </c>
      <c r="U33" s="57">
        <v>1</v>
      </c>
    </row>
    <row r="34" spans="1:21" ht="168" x14ac:dyDescent="0.25">
      <c r="A34" s="5" t="s">
        <v>137</v>
      </c>
      <c r="B34" s="5" t="s">
        <v>13</v>
      </c>
      <c r="C34" s="24" t="s">
        <v>138</v>
      </c>
      <c r="D34" s="6">
        <v>3</v>
      </c>
      <c r="E34" s="6">
        <v>2</v>
      </c>
      <c r="F34" s="7" t="s">
        <v>139</v>
      </c>
      <c r="G34" s="7" t="s">
        <v>140</v>
      </c>
      <c r="H34" s="8">
        <v>1</v>
      </c>
      <c r="I34" s="8">
        <v>1</v>
      </c>
      <c r="J34" s="8">
        <v>1</v>
      </c>
      <c r="K34" s="8">
        <v>0</v>
      </c>
      <c r="L34" s="8">
        <v>0</v>
      </c>
      <c r="M34" s="9">
        <f t="shared" ref="M34:M65" si="2">H34+I34+J34+K34+L34</f>
        <v>3</v>
      </c>
      <c r="N34" s="10">
        <v>0</v>
      </c>
      <c r="O34" s="10">
        <v>0</v>
      </c>
      <c r="P34" s="10">
        <v>0</v>
      </c>
      <c r="Q34" s="10">
        <v>0</v>
      </c>
      <c r="R34" s="10">
        <v>0</v>
      </c>
      <c r="S34" s="11">
        <f t="shared" ref="S34:S65" si="3">N34+O34+P34+Q34+R34</f>
        <v>0</v>
      </c>
      <c r="T34" s="31">
        <v>0</v>
      </c>
    </row>
    <row r="35" spans="1:21" ht="204" x14ac:dyDescent="0.25">
      <c r="A35" s="12" t="s">
        <v>141</v>
      </c>
      <c r="B35" s="12" t="s">
        <v>13</v>
      </c>
      <c r="C35" s="25" t="s">
        <v>142</v>
      </c>
      <c r="D35" s="6">
        <v>3</v>
      </c>
      <c r="E35" s="6">
        <v>2</v>
      </c>
      <c r="F35" s="13" t="s">
        <v>143</v>
      </c>
      <c r="G35" s="13" t="s">
        <v>144</v>
      </c>
      <c r="H35" s="8">
        <v>1</v>
      </c>
      <c r="I35" s="8">
        <v>0</v>
      </c>
      <c r="J35" s="8">
        <v>1</v>
      </c>
      <c r="K35" s="8">
        <v>0</v>
      </c>
      <c r="L35" s="8">
        <v>0</v>
      </c>
      <c r="M35" s="9">
        <f t="shared" si="2"/>
        <v>2</v>
      </c>
      <c r="N35" s="10">
        <v>1</v>
      </c>
      <c r="O35" s="10">
        <v>0</v>
      </c>
      <c r="P35" s="10">
        <v>0</v>
      </c>
      <c r="Q35" s="10">
        <v>0</v>
      </c>
      <c r="R35" s="10">
        <v>0</v>
      </c>
      <c r="S35" s="11">
        <f t="shared" si="3"/>
        <v>1</v>
      </c>
      <c r="T35" s="31">
        <v>0</v>
      </c>
      <c r="U35" s="34">
        <v>0</v>
      </c>
    </row>
    <row r="36" spans="1:21" ht="192" x14ac:dyDescent="0.25">
      <c r="A36" s="5" t="s">
        <v>145</v>
      </c>
      <c r="B36" s="5" t="s">
        <v>13</v>
      </c>
      <c r="C36" s="24" t="s">
        <v>146</v>
      </c>
      <c r="D36" s="6">
        <v>4</v>
      </c>
      <c r="E36" s="6">
        <v>3</v>
      </c>
      <c r="F36" s="7" t="s">
        <v>147</v>
      </c>
      <c r="G36" s="7" t="s">
        <v>148</v>
      </c>
      <c r="H36" s="8">
        <v>1</v>
      </c>
      <c r="I36" s="8">
        <v>1</v>
      </c>
      <c r="J36" s="8">
        <v>1</v>
      </c>
      <c r="K36" s="8">
        <v>0</v>
      </c>
      <c r="L36" s="8">
        <v>0</v>
      </c>
      <c r="M36" s="9">
        <f t="shared" si="2"/>
        <v>3</v>
      </c>
      <c r="N36" s="10">
        <v>1</v>
      </c>
      <c r="O36" s="10">
        <v>0</v>
      </c>
      <c r="P36" s="10">
        <v>0</v>
      </c>
      <c r="Q36" s="10">
        <v>0</v>
      </c>
      <c r="R36" s="10">
        <v>0</v>
      </c>
      <c r="S36" s="11">
        <f t="shared" si="3"/>
        <v>1</v>
      </c>
      <c r="T36" s="31">
        <v>1</v>
      </c>
    </row>
    <row r="37" spans="1:21" ht="156" x14ac:dyDescent="0.25">
      <c r="A37" s="12" t="s">
        <v>149</v>
      </c>
      <c r="B37" s="12" t="s">
        <v>8</v>
      </c>
      <c r="C37" s="25" t="s">
        <v>150</v>
      </c>
      <c r="D37" s="6">
        <v>3</v>
      </c>
      <c r="E37" s="6">
        <v>2</v>
      </c>
      <c r="F37" s="13" t="s">
        <v>151</v>
      </c>
      <c r="G37" s="13" t="s">
        <v>152</v>
      </c>
      <c r="H37" s="8">
        <v>0</v>
      </c>
      <c r="I37" s="8">
        <v>0</v>
      </c>
      <c r="J37" s="8">
        <v>0</v>
      </c>
      <c r="K37" s="8">
        <v>0</v>
      </c>
      <c r="L37" s="8">
        <v>0</v>
      </c>
      <c r="M37" s="9">
        <f t="shared" si="2"/>
        <v>0</v>
      </c>
      <c r="N37" s="10">
        <v>0</v>
      </c>
      <c r="O37" s="10">
        <v>0</v>
      </c>
      <c r="P37" s="10">
        <v>0</v>
      </c>
      <c r="Q37" s="10">
        <v>0</v>
      </c>
      <c r="R37" s="10">
        <v>0</v>
      </c>
      <c r="S37" s="11">
        <f t="shared" si="3"/>
        <v>0</v>
      </c>
      <c r="T37" s="31">
        <v>0</v>
      </c>
      <c r="U37" s="35">
        <v>0</v>
      </c>
    </row>
    <row r="38" spans="1:21" ht="270" x14ac:dyDescent="0.25">
      <c r="A38" s="41" t="s">
        <v>153</v>
      </c>
      <c r="B38" s="41" t="s">
        <v>13</v>
      </c>
      <c r="C38" s="42" t="s">
        <v>154</v>
      </c>
      <c r="D38" s="43">
        <v>4</v>
      </c>
      <c r="E38" s="43">
        <v>4</v>
      </c>
      <c r="F38" s="44" t="s">
        <v>155</v>
      </c>
      <c r="G38" s="44" t="s">
        <v>156</v>
      </c>
      <c r="H38" s="43">
        <v>1</v>
      </c>
      <c r="I38" s="43">
        <v>1</v>
      </c>
      <c r="J38" s="43">
        <v>0</v>
      </c>
      <c r="K38" s="43">
        <v>1</v>
      </c>
      <c r="L38" s="43">
        <v>0</v>
      </c>
      <c r="M38" s="43">
        <f t="shared" si="2"/>
        <v>3</v>
      </c>
      <c r="N38" s="43">
        <v>1</v>
      </c>
      <c r="O38" s="43">
        <v>1</v>
      </c>
      <c r="P38" s="43">
        <v>0</v>
      </c>
      <c r="Q38" s="43">
        <v>1</v>
      </c>
      <c r="R38" s="43">
        <v>0</v>
      </c>
      <c r="S38" s="43">
        <f t="shared" si="3"/>
        <v>3</v>
      </c>
      <c r="T38" s="43">
        <v>1</v>
      </c>
      <c r="U38" s="46">
        <v>1</v>
      </c>
    </row>
    <row r="39" spans="1:21" ht="180" x14ac:dyDescent="0.25">
      <c r="A39" s="12" t="s">
        <v>157</v>
      </c>
      <c r="B39" s="12" t="s">
        <v>13</v>
      </c>
      <c r="C39" s="25" t="s">
        <v>158</v>
      </c>
      <c r="D39" s="6">
        <v>3</v>
      </c>
      <c r="E39" s="6">
        <v>2</v>
      </c>
      <c r="F39" s="13" t="s">
        <v>159</v>
      </c>
      <c r="G39" s="13" t="s">
        <v>160</v>
      </c>
      <c r="H39" s="8">
        <v>1</v>
      </c>
      <c r="I39" s="8">
        <v>0</v>
      </c>
      <c r="J39" s="8">
        <v>0</v>
      </c>
      <c r="K39" s="8">
        <v>0</v>
      </c>
      <c r="L39" s="8">
        <v>0</v>
      </c>
      <c r="M39" s="9">
        <f t="shared" si="2"/>
        <v>1</v>
      </c>
      <c r="N39" s="10">
        <v>0</v>
      </c>
      <c r="O39" s="10">
        <v>0</v>
      </c>
      <c r="P39" s="10">
        <v>0</v>
      </c>
      <c r="Q39" s="10">
        <v>0</v>
      </c>
      <c r="R39" s="10">
        <v>0</v>
      </c>
      <c r="S39" s="11">
        <f t="shared" si="3"/>
        <v>0</v>
      </c>
      <c r="T39" s="31">
        <v>0</v>
      </c>
      <c r="U39" s="34">
        <v>0</v>
      </c>
    </row>
    <row r="40" spans="1:21" ht="195" x14ac:dyDescent="0.25">
      <c r="A40" s="5" t="s">
        <v>161</v>
      </c>
      <c r="B40" s="5" t="s">
        <v>13</v>
      </c>
      <c r="C40" s="24" t="s">
        <v>162</v>
      </c>
      <c r="D40" s="6">
        <v>3</v>
      </c>
      <c r="E40" s="6">
        <v>2</v>
      </c>
      <c r="F40" s="7" t="s">
        <v>163</v>
      </c>
      <c r="G40" s="7" t="s">
        <v>164</v>
      </c>
      <c r="H40" s="8">
        <v>1</v>
      </c>
      <c r="I40" s="8">
        <v>0</v>
      </c>
      <c r="J40" s="8">
        <v>1</v>
      </c>
      <c r="K40" s="8">
        <v>0</v>
      </c>
      <c r="L40" s="8">
        <v>0</v>
      </c>
      <c r="M40" s="9">
        <f t="shared" si="2"/>
        <v>2</v>
      </c>
      <c r="N40" s="10">
        <v>0</v>
      </c>
      <c r="O40" s="10">
        <v>0</v>
      </c>
      <c r="P40" s="10">
        <v>0</v>
      </c>
      <c r="Q40" s="10">
        <v>0</v>
      </c>
      <c r="R40" s="10">
        <v>0</v>
      </c>
      <c r="S40" s="11">
        <f t="shared" si="3"/>
        <v>0</v>
      </c>
      <c r="T40" s="31">
        <v>1</v>
      </c>
      <c r="U40" s="34">
        <v>0</v>
      </c>
    </row>
    <row r="41" spans="1:21" ht="180" x14ac:dyDescent="0.25">
      <c r="A41" s="12" t="s">
        <v>165</v>
      </c>
      <c r="B41" s="12" t="s">
        <v>8</v>
      </c>
      <c r="C41" s="25" t="s">
        <v>166</v>
      </c>
      <c r="D41" s="6">
        <v>4</v>
      </c>
      <c r="E41" s="6">
        <v>3</v>
      </c>
      <c r="F41" s="13" t="s">
        <v>167</v>
      </c>
      <c r="G41" s="13" t="s">
        <v>168</v>
      </c>
      <c r="H41" s="8">
        <v>1</v>
      </c>
      <c r="I41" s="8">
        <v>1</v>
      </c>
      <c r="J41" s="8">
        <v>0</v>
      </c>
      <c r="K41" s="8">
        <v>1</v>
      </c>
      <c r="L41" s="8">
        <v>0</v>
      </c>
      <c r="M41" s="9">
        <f t="shared" si="2"/>
        <v>3</v>
      </c>
      <c r="N41" s="10">
        <v>1</v>
      </c>
      <c r="O41" s="10">
        <v>0</v>
      </c>
      <c r="P41" s="10">
        <v>0</v>
      </c>
      <c r="Q41" s="10">
        <v>0</v>
      </c>
      <c r="R41" s="10">
        <v>0</v>
      </c>
      <c r="S41" s="11">
        <f t="shared" si="3"/>
        <v>1</v>
      </c>
      <c r="T41" s="31">
        <v>0</v>
      </c>
    </row>
    <row r="42" spans="1:21" ht="156" x14ac:dyDescent="0.25">
      <c r="A42" s="5" t="s">
        <v>169</v>
      </c>
      <c r="B42" s="5" t="s">
        <v>8</v>
      </c>
      <c r="C42" s="24" t="s">
        <v>170</v>
      </c>
      <c r="D42" s="6">
        <v>3</v>
      </c>
      <c r="E42" s="6">
        <v>2</v>
      </c>
      <c r="F42" s="7" t="s">
        <v>171</v>
      </c>
      <c r="G42" s="7" t="s">
        <v>172</v>
      </c>
      <c r="H42" s="8">
        <v>1</v>
      </c>
      <c r="I42" s="8">
        <v>1</v>
      </c>
      <c r="J42" s="8">
        <v>1</v>
      </c>
      <c r="K42" s="8">
        <v>0</v>
      </c>
      <c r="L42" s="8">
        <v>0</v>
      </c>
      <c r="M42" s="9">
        <f t="shared" si="2"/>
        <v>3</v>
      </c>
      <c r="N42" s="10">
        <v>0</v>
      </c>
      <c r="O42" s="10">
        <v>0</v>
      </c>
      <c r="P42" s="10">
        <v>0</v>
      </c>
      <c r="Q42" s="10">
        <v>0</v>
      </c>
      <c r="R42" s="10">
        <v>0</v>
      </c>
      <c r="S42" s="11">
        <f t="shared" si="3"/>
        <v>0</v>
      </c>
      <c r="T42" s="31">
        <v>1</v>
      </c>
    </row>
    <row r="43" spans="1:21" ht="409.5" x14ac:dyDescent="0.25">
      <c r="A43" s="12" t="s">
        <v>173</v>
      </c>
      <c r="B43" s="12" t="s">
        <v>13</v>
      </c>
      <c r="C43" s="32" t="s">
        <v>174</v>
      </c>
      <c r="D43" s="6">
        <v>3</v>
      </c>
      <c r="E43" s="6">
        <v>2</v>
      </c>
      <c r="F43" s="13" t="s">
        <v>175</v>
      </c>
      <c r="G43" s="13" t="s">
        <v>176</v>
      </c>
      <c r="H43" s="8">
        <v>1</v>
      </c>
      <c r="I43" s="8">
        <v>0</v>
      </c>
      <c r="J43" s="8">
        <v>1</v>
      </c>
      <c r="K43" s="8">
        <v>0</v>
      </c>
      <c r="L43" s="8">
        <v>0</v>
      </c>
      <c r="M43" s="9">
        <f t="shared" si="2"/>
        <v>2</v>
      </c>
      <c r="N43" s="10">
        <v>0</v>
      </c>
      <c r="O43" s="10">
        <v>0</v>
      </c>
      <c r="P43" s="10">
        <v>0</v>
      </c>
      <c r="Q43" s="10">
        <v>0</v>
      </c>
      <c r="R43" s="10">
        <v>0</v>
      </c>
      <c r="S43" s="11">
        <f t="shared" si="3"/>
        <v>0</v>
      </c>
      <c r="T43" s="31">
        <v>0</v>
      </c>
      <c r="U43" s="34">
        <v>0</v>
      </c>
    </row>
    <row r="44" spans="1:21" ht="255" x14ac:dyDescent="0.25">
      <c r="A44" s="41" t="s">
        <v>177</v>
      </c>
      <c r="B44" s="41" t="s">
        <v>13</v>
      </c>
      <c r="C44" s="42" t="s">
        <v>178</v>
      </c>
      <c r="D44" s="43">
        <v>3</v>
      </c>
      <c r="E44" s="43">
        <v>2</v>
      </c>
      <c r="F44" s="44" t="s">
        <v>179</v>
      </c>
      <c r="G44" s="44" t="s">
        <v>180</v>
      </c>
      <c r="H44" s="43">
        <v>1</v>
      </c>
      <c r="I44" s="43">
        <v>0</v>
      </c>
      <c r="J44" s="43">
        <v>0</v>
      </c>
      <c r="K44" s="43">
        <v>0</v>
      </c>
      <c r="L44" s="43">
        <v>0</v>
      </c>
      <c r="M44" s="43">
        <f t="shared" si="2"/>
        <v>1</v>
      </c>
      <c r="N44" s="43">
        <v>0</v>
      </c>
      <c r="O44" s="43">
        <v>0</v>
      </c>
      <c r="P44" s="43">
        <v>0</v>
      </c>
      <c r="Q44" s="43">
        <v>0</v>
      </c>
      <c r="R44" s="43">
        <v>0</v>
      </c>
      <c r="S44" s="43">
        <f t="shared" si="3"/>
        <v>0</v>
      </c>
      <c r="T44" s="43">
        <v>0</v>
      </c>
      <c r="U44" s="46">
        <v>1</v>
      </c>
    </row>
    <row r="45" spans="1:21" ht="180" x14ac:dyDescent="0.25">
      <c r="A45" s="12" t="s">
        <v>181</v>
      </c>
      <c r="B45" s="12" t="s">
        <v>13</v>
      </c>
      <c r="C45" s="25" t="s">
        <v>182</v>
      </c>
      <c r="D45" s="6">
        <v>3</v>
      </c>
      <c r="E45" s="6">
        <v>2</v>
      </c>
      <c r="F45" s="13" t="s">
        <v>183</v>
      </c>
      <c r="G45" s="13" t="s">
        <v>184</v>
      </c>
      <c r="H45" s="8">
        <v>1</v>
      </c>
      <c r="I45" s="8">
        <v>0</v>
      </c>
      <c r="J45" s="8">
        <v>1</v>
      </c>
      <c r="K45" s="8">
        <v>0</v>
      </c>
      <c r="L45" s="8">
        <v>0</v>
      </c>
      <c r="M45" s="9">
        <f t="shared" si="2"/>
        <v>2</v>
      </c>
      <c r="N45" s="10">
        <v>0</v>
      </c>
      <c r="O45" s="10">
        <v>0</v>
      </c>
      <c r="P45" s="10">
        <v>0</v>
      </c>
      <c r="Q45" s="10">
        <v>0</v>
      </c>
      <c r="R45" s="10">
        <v>0</v>
      </c>
      <c r="S45" s="11">
        <f t="shared" si="3"/>
        <v>0</v>
      </c>
      <c r="T45" s="31">
        <v>0</v>
      </c>
      <c r="U45" s="34">
        <v>0</v>
      </c>
    </row>
    <row r="46" spans="1:21" ht="156" x14ac:dyDescent="0.25">
      <c r="A46" s="5" t="s">
        <v>185</v>
      </c>
      <c r="B46" s="5" t="s">
        <v>13</v>
      </c>
      <c r="C46" s="24" t="s">
        <v>186</v>
      </c>
      <c r="D46" s="6">
        <v>3</v>
      </c>
      <c r="E46" s="6">
        <v>2</v>
      </c>
      <c r="F46" s="7" t="s">
        <v>187</v>
      </c>
      <c r="G46" s="7" t="s">
        <v>188</v>
      </c>
      <c r="H46" s="8">
        <v>1</v>
      </c>
      <c r="I46" s="8">
        <v>1</v>
      </c>
      <c r="J46" s="8">
        <v>0</v>
      </c>
      <c r="K46" s="8">
        <v>0</v>
      </c>
      <c r="L46" s="8">
        <v>0</v>
      </c>
      <c r="M46" s="9">
        <f t="shared" si="2"/>
        <v>2</v>
      </c>
      <c r="N46" s="10">
        <v>0</v>
      </c>
      <c r="O46" s="10">
        <v>0</v>
      </c>
      <c r="P46" s="10">
        <v>0</v>
      </c>
      <c r="Q46" s="10">
        <v>0</v>
      </c>
      <c r="R46" s="10">
        <v>0</v>
      </c>
      <c r="S46" s="11">
        <f t="shared" si="3"/>
        <v>0</v>
      </c>
      <c r="T46" s="31">
        <v>1</v>
      </c>
      <c r="U46" s="34">
        <v>0</v>
      </c>
    </row>
    <row r="47" spans="1:21" ht="225" x14ac:dyDescent="0.25">
      <c r="A47" s="41" t="s">
        <v>189</v>
      </c>
      <c r="B47" s="41" t="s">
        <v>13</v>
      </c>
      <c r="C47" s="42" t="s">
        <v>190</v>
      </c>
      <c r="D47" s="43">
        <v>3</v>
      </c>
      <c r="E47" s="43">
        <v>2</v>
      </c>
      <c r="F47" s="44" t="s">
        <v>191</v>
      </c>
      <c r="G47" s="44" t="s">
        <v>192</v>
      </c>
      <c r="H47" s="43">
        <v>0</v>
      </c>
      <c r="I47" s="43">
        <v>0</v>
      </c>
      <c r="J47" s="43">
        <v>0</v>
      </c>
      <c r="K47" s="43">
        <v>0</v>
      </c>
      <c r="L47" s="43">
        <v>0</v>
      </c>
      <c r="M47" s="43">
        <f t="shared" si="2"/>
        <v>0</v>
      </c>
      <c r="N47" s="43">
        <v>0</v>
      </c>
      <c r="O47" s="43">
        <v>0</v>
      </c>
      <c r="P47" s="43">
        <v>0</v>
      </c>
      <c r="Q47" s="43">
        <v>0</v>
      </c>
      <c r="R47" s="43">
        <v>0</v>
      </c>
      <c r="S47" s="43">
        <f t="shared" si="3"/>
        <v>0</v>
      </c>
      <c r="T47" s="43">
        <v>0</v>
      </c>
      <c r="U47" s="45">
        <v>1</v>
      </c>
    </row>
    <row r="48" spans="1:21" ht="270" x14ac:dyDescent="0.25">
      <c r="A48" s="41" t="s">
        <v>193</v>
      </c>
      <c r="B48" s="41" t="s">
        <v>8</v>
      </c>
      <c r="C48" s="42" t="s">
        <v>194</v>
      </c>
      <c r="D48" s="43">
        <v>3</v>
      </c>
      <c r="E48" s="43">
        <v>2</v>
      </c>
      <c r="F48" s="44" t="s">
        <v>195</v>
      </c>
      <c r="G48" s="44" t="s">
        <v>196</v>
      </c>
      <c r="H48" s="43">
        <v>0</v>
      </c>
      <c r="I48" s="43">
        <v>0</v>
      </c>
      <c r="J48" s="43">
        <v>0</v>
      </c>
      <c r="K48" s="43">
        <v>0</v>
      </c>
      <c r="L48" s="43">
        <v>0</v>
      </c>
      <c r="M48" s="43">
        <f t="shared" si="2"/>
        <v>0</v>
      </c>
      <c r="N48" s="43">
        <v>0</v>
      </c>
      <c r="O48" s="43">
        <v>0</v>
      </c>
      <c r="P48" s="43">
        <v>0</v>
      </c>
      <c r="Q48" s="43">
        <v>0</v>
      </c>
      <c r="R48" s="43">
        <v>0</v>
      </c>
      <c r="S48" s="43">
        <f t="shared" si="3"/>
        <v>0</v>
      </c>
      <c r="T48" s="43">
        <v>0</v>
      </c>
      <c r="U48" s="45">
        <v>1</v>
      </c>
    </row>
    <row r="49" spans="1:22" ht="240" x14ac:dyDescent="0.25">
      <c r="A49" s="41" t="s">
        <v>197</v>
      </c>
      <c r="B49" s="41" t="s">
        <v>8</v>
      </c>
      <c r="C49" s="42" t="s">
        <v>198</v>
      </c>
      <c r="D49" s="43">
        <v>3</v>
      </c>
      <c r="E49" s="43">
        <v>2</v>
      </c>
      <c r="F49" s="44" t="s">
        <v>199</v>
      </c>
      <c r="G49" s="44" t="s">
        <v>200</v>
      </c>
      <c r="H49" s="43">
        <v>0</v>
      </c>
      <c r="I49" s="43">
        <v>0</v>
      </c>
      <c r="J49" s="43">
        <v>0</v>
      </c>
      <c r="K49" s="43">
        <v>0</v>
      </c>
      <c r="L49" s="43">
        <v>0</v>
      </c>
      <c r="M49" s="43">
        <f t="shared" si="2"/>
        <v>0</v>
      </c>
      <c r="N49" s="43">
        <v>0</v>
      </c>
      <c r="O49" s="43">
        <v>0</v>
      </c>
      <c r="P49" s="43">
        <v>0</v>
      </c>
      <c r="Q49" s="43">
        <v>0</v>
      </c>
      <c r="R49" s="43">
        <v>0</v>
      </c>
      <c r="S49" s="43">
        <f t="shared" si="3"/>
        <v>0</v>
      </c>
      <c r="T49" s="43">
        <v>0</v>
      </c>
      <c r="U49" s="45">
        <v>1</v>
      </c>
    </row>
    <row r="50" spans="1:22" ht="225" x14ac:dyDescent="0.25">
      <c r="A50" s="41" t="s">
        <v>201</v>
      </c>
      <c r="B50" s="41" t="s">
        <v>8</v>
      </c>
      <c r="C50" s="42" t="s">
        <v>202</v>
      </c>
      <c r="D50" s="43">
        <v>3</v>
      </c>
      <c r="E50" s="43">
        <v>3</v>
      </c>
      <c r="F50" s="44" t="s">
        <v>203</v>
      </c>
      <c r="G50" s="44" t="s">
        <v>204</v>
      </c>
      <c r="H50" s="43">
        <v>1</v>
      </c>
      <c r="I50" s="43">
        <v>1</v>
      </c>
      <c r="J50" s="43">
        <v>1</v>
      </c>
      <c r="K50" s="43">
        <v>0</v>
      </c>
      <c r="L50" s="43">
        <v>0</v>
      </c>
      <c r="M50" s="43">
        <f t="shared" si="2"/>
        <v>3</v>
      </c>
      <c r="N50" s="43">
        <v>1</v>
      </c>
      <c r="O50" s="43">
        <v>0</v>
      </c>
      <c r="P50" s="43">
        <v>0</v>
      </c>
      <c r="Q50" s="43">
        <v>0</v>
      </c>
      <c r="R50" s="43">
        <v>0</v>
      </c>
      <c r="S50" s="43">
        <f t="shared" si="3"/>
        <v>1</v>
      </c>
      <c r="T50" s="43">
        <v>0</v>
      </c>
      <c r="U50" s="45">
        <v>1</v>
      </c>
    </row>
    <row r="51" spans="1:22" ht="390" x14ac:dyDescent="0.25">
      <c r="A51" s="12" t="s">
        <v>205</v>
      </c>
      <c r="B51" s="12" t="s">
        <v>8</v>
      </c>
      <c r="C51" s="25" t="s">
        <v>206</v>
      </c>
      <c r="D51" s="6">
        <v>4</v>
      </c>
      <c r="E51" s="6">
        <v>3</v>
      </c>
      <c r="F51" s="13" t="s">
        <v>207</v>
      </c>
      <c r="G51" s="13" t="s">
        <v>208</v>
      </c>
      <c r="H51" s="8">
        <v>1</v>
      </c>
      <c r="I51" s="8">
        <v>0</v>
      </c>
      <c r="J51" s="8">
        <v>1</v>
      </c>
      <c r="K51" s="8">
        <v>0</v>
      </c>
      <c r="L51" s="8">
        <v>0</v>
      </c>
      <c r="M51" s="9">
        <f t="shared" si="2"/>
        <v>2</v>
      </c>
      <c r="N51" s="10">
        <v>1</v>
      </c>
      <c r="O51" s="10">
        <v>0</v>
      </c>
      <c r="P51" s="10">
        <v>0</v>
      </c>
      <c r="Q51" s="10">
        <v>0</v>
      </c>
      <c r="R51" s="10">
        <v>0</v>
      </c>
      <c r="S51" s="11">
        <f t="shared" si="3"/>
        <v>1</v>
      </c>
      <c r="T51" s="31">
        <v>0</v>
      </c>
      <c r="U51" s="35">
        <v>0</v>
      </c>
    </row>
    <row r="52" spans="1:22" ht="168" x14ac:dyDescent="0.25">
      <c r="A52" s="5" t="s">
        <v>209</v>
      </c>
      <c r="B52" s="5" t="s">
        <v>13</v>
      </c>
      <c r="C52" s="24" t="s">
        <v>210</v>
      </c>
      <c r="D52" s="6">
        <v>3</v>
      </c>
      <c r="E52" s="6">
        <v>2</v>
      </c>
      <c r="F52" s="7" t="s">
        <v>211</v>
      </c>
      <c r="G52" s="7" t="s">
        <v>212</v>
      </c>
      <c r="H52" s="8">
        <v>1</v>
      </c>
      <c r="I52" s="8">
        <v>1</v>
      </c>
      <c r="J52" s="8">
        <v>1</v>
      </c>
      <c r="K52" s="8">
        <v>0</v>
      </c>
      <c r="L52" s="8">
        <v>0</v>
      </c>
      <c r="M52" s="9">
        <f t="shared" si="2"/>
        <v>3</v>
      </c>
      <c r="N52" s="10">
        <v>0</v>
      </c>
      <c r="O52" s="10">
        <v>0</v>
      </c>
      <c r="P52" s="10">
        <v>0</v>
      </c>
      <c r="Q52" s="10">
        <v>0</v>
      </c>
      <c r="R52" s="10">
        <v>0</v>
      </c>
      <c r="S52" s="11">
        <f t="shared" si="3"/>
        <v>0</v>
      </c>
      <c r="T52" s="31">
        <v>1</v>
      </c>
    </row>
    <row r="53" spans="1:22" ht="240" x14ac:dyDescent="0.25">
      <c r="A53" s="47" t="s">
        <v>213</v>
      </c>
      <c r="B53" s="47" t="s">
        <v>13</v>
      </c>
      <c r="C53" s="48" t="s">
        <v>214</v>
      </c>
      <c r="D53" s="49">
        <v>3</v>
      </c>
      <c r="E53" s="49">
        <v>2</v>
      </c>
      <c r="F53" s="50" t="s">
        <v>215</v>
      </c>
      <c r="G53" s="50" t="s">
        <v>216</v>
      </c>
      <c r="H53" s="49">
        <v>1</v>
      </c>
      <c r="I53" s="49">
        <v>0</v>
      </c>
      <c r="J53" s="49">
        <v>0</v>
      </c>
      <c r="K53" s="49">
        <v>0</v>
      </c>
      <c r="L53" s="49">
        <v>0</v>
      </c>
      <c r="M53" s="49">
        <f t="shared" si="2"/>
        <v>1</v>
      </c>
      <c r="N53" s="49">
        <v>0</v>
      </c>
      <c r="O53" s="49">
        <v>0</v>
      </c>
      <c r="P53" s="49">
        <v>0</v>
      </c>
      <c r="Q53" s="49">
        <v>0</v>
      </c>
      <c r="R53" s="49">
        <v>0</v>
      </c>
      <c r="S53" s="49">
        <f t="shared" si="3"/>
        <v>0</v>
      </c>
      <c r="T53" s="49">
        <v>0</v>
      </c>
      <c r="U53" s="49">
        <v>1</v>
      </c>
      <c r="V53" s="47">
        <v>1</v>
      </c>
    </row>
    <row r="54" spans="1:22" ht="168" x14ac:dyDescent="0.25">
      <c r="A54" s="5" t="s">
        <v>217</v>
      </c>
      <c r="B54" s="5" t="s">
        <v>218</v>
      </c>
      <c r="C54" s="24" t="s">
        <v>219</v>
      </c>
      <c r="D54" s="6">
        <v>3</v>
      </c>
      <c r="E54" s="6">
        <v>2</v>
      </c>
      <c r="F54" s="7" t="s">
        <v>220</v>
      </c>
      <c r="G54" s="7" t="s">
        <v>221</v>
      </c>
      <c r="H54" s="8">
        <v>1</v>
      </c>
      <c r="I54" s="8">
        <v>0</v>
      </c>
      <c r="J54" s="8">
        <v>1</v>
      </c>
      <c r="K54" s="8">
        <v>0</v>
      </c>
      <c r="L54" s="8">
        <v>0</v>
      </c>
      <c r="M54" s="9">
        <f t="shared" si="2"/>
        <v>2</v>
      </c>
      <c r="N54" s="10">
        <v>0</v>
      </c>
      <c r="O54" s="10">
        <v>0</v>
      </c>
      <c r="P54" s="10">
        <v>0</v>
      </c>
      <c r="Q54" s="10">
        <v>0</v>
      </c>
      <c r="R54" s="10">
        <v>0</v>
      </c>
      <c r="S54" s="11">
        <f t="shared" si="3"/>
        <v>0</v>
      </c>
      <c r="T54" s="31">
        <v>1</v>
      </c>
      <c r="U54" s="34">
        <v>0</v>
      </c>
    </row>
    <row r="55" spans="1:22" ht="144" x14ac:dyDescent="0.25">
      <c r="A55" s="12" t="s">
        <v>222</v>
      </c>
      <c r="B55" s="12" t="s">
        <v>8</v>
      </c>
      <c r="C55" s="25" t="s">
        <v>223</v>
      </c>
      <c r="D55" s="6">
        <v>3</v>
      </c>
      <c r="E55" s="6">
        <v>2</v>
      </c>
      <c r="F55" s="13" t="s">
        <v>224</v>
      </c>
      <c r="G55" s="13" t="s">
        <v>225</v>
      </c>
      <c r="H55" s="8">
        <v>1</v>
      </c>
      <c r="I55" s="8">
        <v>0</v>
      </c>
      <c r="J55" s="8">
        <v>0</v>
      </c>
      <c r="K55" s="8">
        <v>0</v>
      </c>
      <c r="L55" s="8">
        <v>0</v>
      </c>
      <c r="M55" s="9">
        <f t="shared" si="2"/>
        <v>1</v>
      </c>
      <c r="N55" s="10">
        <v>0</v>
      </c>
      <c r="O55" s="10">
        <v>0</v>
      </c>
      <c r="P55" s="10">
        <v>0</v>
      </c>
      <c r="Q55" s="10">
        <v>0</v>
      </c>
      <c r="R55" s="10">
        <v>0</v>
      </c>
      <c r="S55" s="11">
        <f t="shared" si="3"/>
        <v>0</v>
      </c>
      <c r="T55" s="31">
        <v>0</v>
      </c>
      <c r="U55" s="35">
        <v>0</v>
      </c>
    </row>
    <row r="56" spans="1:22" ht="168" x14ac:dyDescent="0.25">
      <c r="A56" s="5" t="s">
        <v>226</v>
      </c>
      <c r="B56" s="5" t="s">
        <v>8</v>
      </c>
      <c r="C56" s="24" t="s">
        <v>227</v>
      </c>
      <c r="D56" s="6">
        <v>3</v>
      </c>
      <c r="E56" s="6">
        <v>2</v>
      </c>
      <c r="F56" s="7" t="s">
        <v>228</v>
      </c>
      <c r="G56" s="7" t="s">
        <v>229</v>
      </c>
      <c r="H56" s="8">
        <v>1</v>
      </c>
      <c r="I56" s="8">
        <v>1</v>
      </c>
      <c r="J56" s="8">
        <v>1</v>
      </c>
      <c r="K56" s="8">
        <v>0</v>
      </c>
      <c r="L56" s="8">
        <v>0</v>
      </c>
      <c r="M56" s="9">
        <f t="shared" si="2"/>
        <v>3</v>
      </c>
      <c r="N56" s="10">
        <v>0</v>
      </c>
      <c r="O56" s="10">
        <v>1</v>
      </c>
      <c r="P56" s="10">
        <v>0</v>
      </c>
      <c r="Q56" s="10">
        <v>0</v>
      </c>
      <c r="R56" s="10">
        <v>0</v>
      </c>
      <c r="S56" s="11">
        <f t="shared" si="3"/>
        <v>1</v>
      </c>
      <c r="T56" s="31">
        <v>1</v>
      </c>
    </row>
    <row r="57" spans="1:22" ht="190.5" customHeight="1" x14ac:dyDescent="0.25">
      <c r="A57" s="12" t="s">
        <v>230</v>
      </c>
      <c r="B57" s="12" t="s">
        <v>13</v>
      </c>
      <c r="C57" s="25" t="s">
        <v>231</v>
      </c>
      <c r="D57" s="6">
        <v>3</v>
      </c>
      <c r="E57" s="6">
        <v>2</v>
      </c>
      <c r="F57" s="13" t="s">
        <v>232</v>
      </c>
      <c r="G57" s="13" t="s">
        <v>233</v>
      </c>
      <c r="H57" s="8">
        <v>1</v>
      </c>
      <c r="I57" s="8">
        <v>0</v>
      </c>
      <c r="J57" s="8">
        <v>0</v>
      </c>
      <c r="K57" s="8">
        <v>0</v>
      </c>
      <c r="L57" s="8">
        <v>0</v>
      </c>
      <c r="M57" s="9">
        <f t="shared" si="2"/>
        <v>1</v>
      </c>
      <c r="N57" s="10">
        <v>0</v>
      </c>
      <c r="O57" s="10">
        <v>0</v>
      </c>
      <c r="P57" s="10">
        <v>0</v>
      </c>
      <c r="Q57" s="10">
        <v>0</v>
      </c>
      <c r="R57" s="10">
        <v>0</v>
      </c>
      <c r="S57" s="11">
        <f t="shared" si="3"/>
        <v>0</v>
      </c>
      <c r="T57" s="31">
        <v>0</v>
      </c>
      <c r="U57" s="35">
        <v>0</v>
      </c>
    </row>
    <row r="58" spans="1:22" ht="409.5" x14ac:dyDescent="0.25">
      <c r="A58" s="5" t="s">
        <v>234</v>
      </c>
      <c r="B58" s="5" t="s">
        <v>13</v>
      </c>
      <c r="C58" s="24" t="s">
        <v>235</v>
      </c>
      <c r="D58" s="6">
        <v>3</v>
      </c>
      <c r="E58" s="6">
        <v>2</v>
      </c>
      <c r="F58" s="7" t="s">
        <v>236</v>
      </c>
      <c r="G58" s="7" t="s">
        <v>237</v>
      </c>
      <c r="H58" s="8">
        <v>1</v>
      </c>
      <c r="I58" s="8">
        <v>0</v>
      </c>
      <c r="J58" s="8">
        <v>0</v>
      </c>
      <c r="K58" s="8">
        <v>0</v>
      </c>
      <c r="L58" s="8">
        <v>0</v>
      </c>
      <c r="M58" s="9">
        <f t="shared" si="2"/>
        <v>1</v>
      </c>
      <c r="N58" s="10">
        <v>0</v>
      </c>
      <c r="O58" s="10">
        <v>0</v>
      </c>
      <c r="P58" s="10">
        <v>0</v>
      </c>
      <c r="Q58" s="10">
        <v>0</v>
      </c>
      <c r="R58" s="10">
        <v>0</v>
      </c>
      <c r="S58" s="11">
        <f t="shared" si="3"/>
        <v>0</v>
      </c>
      <c r="T58" s="31">
        <v>0</v>
      </c>
      <c r="U58" s="35">
        <v>0</v>
      </c>
    </row>
    <row r="59" spans="1:22" ht="168" x14ac:dyDescent="0.25">
      <c r="A59" s="12" t="s">
        <v>238</v>
      </c>
      <c r="B59" s="12" t="s">
        <v>13</v>
      </c>
      <c r="C59" s="25" t="s">
        <v>239</v>
      </c>
      <c r="D59" s="6">
        <v>3</v>
      </c>
      <c r="E59" s="6">
        <v>2</v>
      </c>
      <c r="F59" s="13" t="s">
        <v>240</v>
      </c>
      <c r="G59" s="13" t="s">
        <v>241</v>
      </c>
      <c r="H59" s="8">
        <v>1</v>
      </c>
      <c r="I59" s="8">
        <v>0</v>
      </c>
      <c r="J59" s="8">
        <v>1</v>
      </c>
      <c r="K59" s="8">
        <v>0</v>
      </c>
      <c r="L59" s="8">
        <v>0</v>
      </c>
      <c r="M59" s="9">
        <f t="shared" si="2"/>
        <v>2</v>
      </c>
      <c r="N59" s="10">
        <v>0</v>
      </c>
      <c r="O59" s="10">
        <v>0</v>
      </c>
      <c r="P59" s="10">
        <v>0</v>
      </c>
      <c r="Q59" s="10">
        <v>0</v>
      </c>
      <c r="R59" s="10">
        <v>0</v>
      </c>
      <c r="S59" s="11">
        <f t="shared" si="3"/>
        <v>0</v>
      </c>
      <c r="T59" s="31">
        <v>0</v>
      </c>
      <c r="U59" s="34">
        <v>0</v>
      </c>
    </row>
    <row r="60" spans="1:22" ht="195" x14ac:dyDescent="0.25">
      <c r="A60" s="5" t="s">
        <v>242</v>
      </c>
      <c r="B60" s="5" t="s">
        <v>13</v>
      </c>
      <c r="C60" s="24" t="s">
        <v>243</v>
      </c>
      <c r="D60" s="6">
        <v>4</v>
      </c>
      <c r="E60" s="6">
        <v>3</v>
      </c>
      <c r="F60" s="7" t="s">
        <v>244</v>
      </c>
      <c r="G60" s="7" t="s">
        <v>245</v>
      </c>
      <c r="H60" s="8">
        <v>1</v>
      </c>
      <c r="I60" s="8">
        <v>0</v>
      </c>
      <c r="J60" s="8">
        <v>1</v>
      </c>
      <c r="K60" s="8">
        <v>1</v>
      </c>
      <c r="L60" s="8">
        <v>0</v>
      </c>
      <c r="M60" s="9">
        <f t="shared" si="2"/>
        <v>3</v>
      </c>
      <c r="N60" s="10">
        <v>1</v>
      </c>
      <c r="O60" s="10">
        <v>1</v>
      </c>
      <c r="P60" s="10">
        <v>0</v>
      </c>
      <c r="Q60" s="10">
        <v>0</v>
      </c>
      <c r="R60" s="10">
        <v>0</v>
      </c>
      <c r="S60" s="11">
        <f t="shared" si="3"/>
        <v>2</v>
      </c>
      <c r="T60" s="31">
        <v>0</v>
      </c>
    </row>
    <row r="61" spans="1:22" ht="300" x14ac:dyDescent="0.25">
      <c r="A61" s="12" t="s">
        <v>246</v>
      </c>
      <c r="B61" s="12" t="s">
        <v>13</v>
      </c>
      <c r="C61" s="25" t="s">
        <v>247</v>
      </c>
      <c r="D61" s="6">
        <v>5</v>
      </c>
      <c r="E61" s="6">
        <v>4</v>
      </c>
      <c r="F61" s="13" t="s">
        <v>248</v>
      </c>
      <c r="G61" s="13" t="s">
        <v>249</v>
      </c>
      <c r="H61" s="8">
        <v>1</v>
      </c>
      <c r="I61" s="8">
        <v>1</v>
      </c>
      <c r="J61" s="8">
        <v>1</v>
      </c>
      <c r="K61" s="8">
        <v>1</v>
      </c>
      <c r="L61" s="8">
        <v>1</v>
      </c>
      <c r="M61" s="9">
        <f t="shared" si="2"/>
        <v>5</v>
      </c>
      <c r="N61" s="10">
        <v>1</v>
      </c>
      <c r="O61" s="10">
        <v>0</v>
      </c>
      <c r="P61" s="10">
        <v>1</v>
      </c>
      <c r="Q61" s="10">
        <v>1</v>
      </c>
      <c r="R61" s="10">
        <v>0</v>
      </c>
      <c r="S61" s="11">
        <f t="shared" si="3"/>
        <v>3</v>
      </c>
      <c r="T61" s="31">
        <v>0</v>
      </c>
    </row>
    <row r="62" spans="1:22" ht="144" x14ac:dyDescent="0.25">
      <c r="A62" s="5" t="s">
        <v>250</v>
      </c>
      <c r="B62" s="5" t="s">
        <v>13</v>
      </c>
      <c r="C62" s="24" t="s">
        <v>251</v>
      </c>
      <c r="D62" s="6">
        <v>3</v>
      </c>
      <c r="E62" s="6">
        <v>2</v>
      </c>
      <c r="F62" s="7" t="s">
        <v>252</v>
      </c>
      <c r="G62" s="7" t="s">
        <v>253</v>
      </c>
      <c r="H62" s="8">
        <v>1</v>
      </c>
      <c r="I62" s="8">
        <v>1</v>
      </c>
      <c r="J62" s="8">
        <v>1</v>
      </c>
      <c r="K62" s="8">
        <v>1</v>
      </c>
      <c r="L62" s="8">
        <v>0</v>
      </c>
      <c r="M62" s="9">
        <f t="shared" si="2"/>
        <v>4</v>
      </c>
      <c r="N62" s="10">
        <v>1</v>
      </c>
      <c r="O62" s="10">
        <v>0</v>
      </c>
      <c r="P62" s="10">
        <v>1</v>
      </c>
      <c r="Q62" s="10">
        <v>0</v>
      </c>
      <c r="R62" s="10">
        <v>0</v>
      </c>
      <c r="S62" s="11">
        <f t="shared" si="3"/>
        <v>2</v>
      </c>
      <c r="T62" s="31">
        <v>1</v>
      </c>
    </row>
    <row r="63" spans="1:22" ht="195" x14ac:dyDescent="0.25">
      <c r="A63" s="12" t="s">
        <v>254</v>
      </c>
      <c r="B63" s="12" t="s">
        <v>8</v>
      </c>
      <c r="C63" s="25" t="s">
        <v>255</v>
      </c>
      <c r="D63" s="6">
        <v>3</v>
      </c>
      <c r="E63" s="6">
        <v>2</v>
      </c>
      <c r="F63" s="13" t="s">
        <v>256</v>
      </c>
      <c r="G63" s="13" t="s">
        <v>257</v>
      </c>
      <c r="H63" s="8">
        <v>1</v>
      </c>
      <c r="I63" s="8">
        <v>1</v>
      </c>
      <c r="J63" s="8">
        <v>1</v>
      </c>
      <c r="K63" s="8">
        <v>0</v>
      </c>
      <c r="L63" s="8">
        <v>0</v>
      </c>
      <c r="M63" s="9">
        <f t="shared" si="2"/>
        <v>3</v>
      </c>
      <c r="N63" s="10">
        <v>0</v>
      </c>
      <c r="O63" s="10">
        <v>1</v>
      </c>
      <c r="P63" s="10">
        <v>0</v>
      </c>
      <c r="Q63" s="10">
        <v>0</v>
      </c>
      <c r="R63" s="10">
        <v>0</v>
      </c>
      <c r="S63" s="11">
        <f t="shared" si="3"/>
        <v>1</v>
      </c>
      <c r="T63" s="31">
        <v>0</v>
      </c>
    </row>
    <row r="64" spans="1:22" ht="195" x14ac:dyDescent="0.25">
      <c r="A64" s="5" t="s">
        <v>258</v>
      </c>
      <c r="B64" s="5" t="s">
        <v>13</v>
      </c>
      <c r="C64" s="24" t="s">
        <v>259</v>
      </c>
      <c r="D64" s="6">
        <v>4</v>
      </c>
      <c r="E64" s="6">
        <v>3</v>
      </c>
      <c r="F64" s="7" t="s">
        <v>260</v>
      </c>
      <c r="G64" s="7" t="s">
        <v>261</v>
      </c>
      <c r="H64" s="8">
        <v>1</v>
      </c>
      <c r="I64" s="8">
        <v>1</v>
      </c>
      <c r="J64" s="8">
        <v>1</v>
      </c>
      <c r="K64" s="8">
        <v>0</v>
      </c>
      <c r="L64" s="8">
        <v>0</v>
      </c>
      <c r="M64" s="9">
        <f t="shared" si="2"/>
        <v>3</v>
      </c>
      <c r="N64" s="10">
        <v>1</v>
      </c>
      <c r="O64" s="10">
        <v>1</v>
      </c>
      <c r="P64" s="10">
        <v>0</v>
      </c>
      <c r="Q64" s="10">
        <v>0</v>
      </c>
      <c r="R64" s="10">
        <v>0</v>
      </c>
      <c r="S64" s="11">
        <f t="shared" si="3"/>
        <v>2</v>
      </c>
      <c r="T64" s="31">
        <v>0</v>
      </c>
    </row>
    <row r="65" spans="1:21" ht="210" x14ac:dyDescent="0.25">
      <c r="A65" s="12" t="s">
        <v>262</v>
      </c>
      <c r="B65" s="12" t="s">
        <v>13</v>
      </c>
      <c r="C65" s="25" t="s">
        <v>263</v>
      </c>
      <c r="D65" s="6">
        <v>3</v>
      </c>
      <c r="E65" s="6">
        <v>2</v>
      </c>
      <c r="F65" s="13" t="s">
        <v>264</v>
      </c>
      <c r="G65" s="13" t="s">
        <v>265</v>
      </c>
      <c r="H65" s="8">
        <v>1</v>
      </c>
      <c r="I65" s="8">
        <v>1</v>
      </c>
      <c r="J65" s="8">
        <v>0</v>
      </c>
      <c r="K65" s="8">
        <v>0</v>
      </c>
      <c r="L65" s="8">
        <v>0</v>
      </c>
      <c r="M65" s="9">
        <f t="shared" si="2"/>
        <v>2</v>
      </c>
      <c r="N65" s="10">
        <v>0</v>
      </c>
      <c r="O65" s="10">
        <v>0</v>
      </c>
      <c r="P65" s="10">
        <v>0</v>
      </c>
      <c r="Q65" s="10">
        <v>0</v>
      </c>
      <c r="R65" s="10">
        <v>0</v>
      </c>
      <c r="S65" s="11">
        <f t="shared" si="3"/>
        <v>0</v>
      </c>
      <c r="T65" s="31">
        <v>0</v>
      </c>
      <c r="U65" s="34">
        <v>0</v>
      </c>
    </row>
    <row r="66" spans="1:21" ht="156" x14ac:dyDescent="0.25">
      <c r="A66" s="5" t="s">
        <v>266</v>
      </c>
      <c r="B66" s="5" t="s">
        <v>8</v>
      </c>
      <c r="C66" s="24" t="s">
        <v>267</v>
      </c>
      <c r="D66" s="6">
        <v>3</v>
      </c>
      <c r="E66" s="6">
        <v>2</v>
      </c>
      <c r="F66" s="7" t="s">
        <v>268</v>
      </c>
      <c r="G66" s="7" t="s">
        <v>269</v>
      </c>
      <c r="H66" s="8">
        <v>1</v>
      </c>
      <c r="I66" s="8">
        <v>1</v>
      </c>
      <c r="J66" s="8">
        <v>1</v>
      </c>
      <c r="K66" s="8">
        <v>0</v>
      </c>
      <c r="L66" s="8">
        <v>0</v>
      </c>
      <c r="M66" s="9">
        <f t="shared" ref="M66:M83" si="4">H66+I66+J66+K66+L66</f>
        <v>3</v>
      </c>
      <c r="N66" s="10">
        <v>0</v>
      </c>
      <c r="O66" s="10">
        <v>0</v>
      </c>
      <c r="P66" s="10">
        <v>1</v>
      </c>
      <c r="Q66" s="10">
        <v>0</v>
      </c>
      <c r="R66" s="10">
        <v>0</v>
      </c>
      <c r="S66" s="11">
        <f t="shared" ref="S66:S83" si="5">N66+O66+P66+Q66+R66</f>
        <v>1</v>
      </c>
      <c r="T66" s="31">
        <v>0</v>
      </c>
    </row>
    <row r="67" spans="1:21" ht="409.5" x14ac:dyDescent="0.25">
      <c r="A67" s="12" t="s">
        <v>270</v>
      </c>
      <c r="B67" s="12" t="s">
        <v>13</v>
      </c>
      <c r="C67" s="25" t="s">
        <v>271</v>
      </c>
      <c r="D67" s="6">
        <v>5</v>
      </c>
      <c r="E67" s="6">
        <v>5</v>
      </c>
      <c r="F67" s="13" t="s">
        <v>272</v>
      </c>
      <c r="G67" s="13" t="s">
        <v>273</v>
      </c>
      <c r="H67" s="8">
        <v>1</v>
      </c>
      <c r="I67" s="8">
        <v>1</v>
      </c>
      <c r="J67" s="8">
        <v>1</v>
      </c>
      <c r="K67" s="8">
        <v>0</v>
      </c>
      <c r="L67" s="8">
        <v>1</v>
      </c>
      <c r="M67" s="9">
        <f t="shared" si="4"/>
        <v>4</v>
      </c>
      <c r="N67" s="10">
        <v>1</v>
      </c>
      <c r="O67" s="10">
        <v>1</v>
      </c>
      <c r="P67" s="10">
        <v>1</v>
      </c>
      <c r="Q67" s="10">
        <v>0</v>
      </c>
      <c r="R67" s="10">
        <v>1</v>
      </c>
      <c r="S67" s="11">
        <f t="shared" si="5"/>
        <v>4</v>
      </c>
      <c r="T67" s="31">
        <v>0</v>
      </c>
    </row>
    <row r="68" spans="1:21" ht="156" x14ac:dyDescent="0.25">
      <c r="A68" s="5" t="s">
        <v>274</v>
      </c>
      <c r="B68" s="5" t="s">
        <v>8</v>
      </c>
      <c r="C68" s="24" t="s">
        <v>275</v>
      </c>
      <c r="D68" s="6">
        <v>3</v>
      </c>
      <c r="E68" s="6">
        <v>2</v>
      </c>
      <c r="F68" s="7" t="s">
        <v>276</v>
      </c>
      <c r="G68" s="7" t="s">
        <v>277</v>
      </c>
      <c r="H68" s="8">
        <v>1</v>
      </c>
      <c r="I68" s="8">
        <v>0</v>
      </c>
      <c r="J68" s="8">
        <v>1</v>
      </c>
      <c r="K68" s="8">
        <v>0</v>
      </c>
      <c r="L68" s="8">
        <v>0</v>
      </c>
      <c r="M68" s="9">
        <f t="shared" si="4"/>
        <v>2</v>
      </c>
      <c r="N68" s="10">
        <v>0</v>
      </c>
      <c r="O68" s="10">
        <v>0</v>
      </c>
      <c r="P68" s="10">
        <v>0</v>
      </c>
      <c r="Q68" s="10">
        <v>0</v>
      </c>
      <c r="R68" s="10">
        <v>0</v>
      </c>
      <c r="S68" s="11">
        <f t="shared" si="5"/>
        <v>0</v>
      </c>
      <c r="T68" s="31">
        <v>0</v>
      </c>
      <c r="U68" s="34">
        <v>0</v>
      </c>
    </row>
    <row r="69" spans="1:21" ht="168" x14ac:dyDescent="0.25">
      <c r="A69" s="12" t="s">
        <v>278</v>
      </c>
      <c r="B69" s="12" t="s">
        <v>13</v>
      </c>
      <c r="C69" s="25" t="s">
        <v>279</v>
      </c>
      <c r="D69" s="6">
        <v>4</v>
      </c>
      <c r="E69" s="6">
        <v>3</v>
      </c>
      <c r="F69" s="13" t="s">
        <v>280</v>
      </c>
      <c r="G69" s="13" t="s">
        <v>281</v>
      </c>
      <c r="H69" s="8">
        <v>1</v>
      </c>
      <c r="I69" s="8">
        <v>1</v>
      </c>
      <c r="J69" s="8">
        <v>1</v>
      </c>
      <c r="K69" s="8">
        <v>1</v>
      </c>
      <c r="L69" s="8">
        <v>0</v>
      </c>
      <c r="M69" s="9">
        <f t="shared" si="4"/>
        <v>4</v>
      </c>
      <c r="N69" s="10">
        <v>1</v>
      </c>
      <c r="O69" s="10">
        <v>0</v>
      </c>
      <c r="P69" s="10">
        <v>1</v>
      </c>
      <c r="Q69" s="10">
        <v>0</v>
      </c>
      <c r="R69" s="10">
        <v>0</v>
      </c>
      <c r="S69" s="11">
        <f t="shared" si="5"/>
        <v>2</v>
      </c>
      <c r="T69" s="31">
        <v>0</v>
      </c>
    </row>
    <row r="70" spans="1:21" ht="180" x14ac:dyDescent="0.25">
      <c r="A70" s="5" t="s">
        <v>282</v>
      </c>
      <c r="B70" s="5" t="s">
        <v>13</v>
      </c>
      <c r="C70" s="24" t="s">
        <v>283</v>
      </c>
      <c r="D70" s="6">
        <v>3</v>
      </c>
      <c r="E70" s="6">
        <v>2</v>
      </c>
      <c r="F70" s="7" t="s">
        <v>284</v>
      </c>
      <c r="G70" s="7" t="s">
        <v>285</v>
      </c>
      <c r="H70" s="8">
        <v>1</v>
      </c>
      <c r="I70" s="8">
        <v>0</v>
      </c>
      <c r="J70" s="8">
        <v>1</v>
      </c>
      <c r="K70" s="8">
        <v>0</v>
      </c>
      <c r="L70" s="8">
        <v>0</v>
      </c>
      <c r="M70" s="9">
        <f t="shared" si="4"/>
        <v>2</v>
      </c>
      <c r="N70" s="10">
        <v>0</v>
      </c>
      <c r="O70" s="10">
        <v>0</v>
      </c>
      <c r="P70" s="10">
        <v>0</v>
      </c>
      <c r="Q70" s="10">
        <v>0</v>
      </c>
      <c r="R70" s="10">
        <v>0</v>
      </c>
      <c r="S70" s="11">
        <f t="shared" si="5"/>
        <v>0</v>
      </c>
      <c r="T70" s="31">
        <v>0</v>
      </c>
      <c r="U70" s="34">
        <v>0</v>
      </c>
    </row>
    <row r="71" spans="1:21" ht="204" x14ac:dyDescent="0.25">
      <c r="A71" s="12" t="s">
        <v>286</v>
      </c>
      <c r="B71" s="12" t="s">
        <v>13</v>
      </c>
      <c r="C71" s="25" t="s">
        <v>287</v>
      </c>
      <c r="D71" s="6">
        <v>4</v>
      </c>
      <c r="E71" s="6">
        <v>3</v>
      </c>
      <c r="F71" s="13" t="s">
        <v>288</v>
      </c>
      <c r="G71" s="13" t="s">
        <v>289</v>
      </c>
      <c r="H71" s="8">
        <v>1</v>
      </c>
      <c r="I71" s="8">
        <v>1</v>
      </c>
      <c r="J71" s="8">
        <v>1</v>
      </c>
      <c r="K71" s="8">
        <v>0</v>
      </c>
      <c r="L71" s="8">
        <v>0</v>
      </c>
      <c r="M71" s="9">
        <f t="shared" si="4"/>
        <v>3</v>
      </c>
      <c r="N71" s="10">
        <v>0</v>
      </c>
      <c r="O71" s="10">
        <v>1</v>
      </c>
      <c r="P71" s="10">
        <v>1</v>
      </c>
      <c r="Q71" s="10">
        <v>0</v>
      </c>
      <c r="R71" s="10">
        <v>0</v>
      </c>
      <c r="S71" s="11">
        <f t="shared" si="5"/>
        <v>2</v>
      </c>
      <c r="T71" s="31">
        <v>0</v>
      </c>
    </row>
    <row r="72" spans="1:21" ht="345" x14ac:dyDescent="0.25">
      <c r="A72" s="5" t="s">
        <v>290</v>
      </c>
      <c r="B72" s="5" t="s">
        <v>8</v>
      </c>
      <c r="C72" s="24" t="s">
        <v>291</v>
      </c>
      <c r="D72" s="6">
        <v>4</v>
      </c>
      <c r="E72" s="6">
        <v>3</v>
      </c>
      <c r="F72" s="7" t="s">
        <v>292</v>
      </c>
      <c r="G72" s="7" t="s">
        <v>293</v>
      </c>
      <c r="H72" s="8">
        <v>1</v>
      </c>
      <c r="I72" s="8">
        <v>1</v>
      </c>
      <c r="J72" s="8">
        <v>0</v>
      </c>
      <c r="K72" s="8">
        <v>1</v>
      </c>
      <c r="L72" s="8">
        <v>0</v>
      </c>
      <c r="M72" s="9">
        <f t="shared" si="4"/>
        <v>3</v>
      </c>
      <c r="N72" s="10">
        <v>0</v>
      </c>
      <c r="O72" s="10">
        <v>0</v>
      </c>
      <c r="P72" s="10">
        <v>0</v>
      </c>
      <c r="Q72" s="10">
        <v>0</v>
      </c>
      <c r="R72" s="10">
        <v>0</v>
      </c>
      <c r="S72" s="11">
        <f t="shared" si="5"/>
        <v>0</v>
      </c>
      <c r="T72" s="31">
        <v>1</v>
      </c>
    </row>
    <row r="73" spans="1:21" ht="192" x14ac:dyDescent="0.25">
      <c r="A73" s="12" t="s">
        <v>294</v>
      </c>
      <c r="B73" s="12"/>
      <c r="C73" s="25" t="s">
        <v>295</v>
      </c>
      <c r="D73" s="6">
        <v>4</v>
      </c>
      <c r="E73" s="6">
        <v>3</v>
      </c>
      <c r="F73" s="13" t="s">
        <v>296</v>
      </c>
      <c r="G73" s="13" t="s">
        <v>297</v>
      </c>
      <c r="H73" s="8">
        <v>1</v>
      </c>
      <c r="I73" s="8">
        <v>1</v>
      </c>
      <c r="J73" s="8">
        <v>1</v>
      </c>
      <c r="K73" s="8">
        <v>0</v>
      </c>
      <c r="L73" s="8">
        <v>0</v>
      </c>
      <c r="M73" s="9">
        <f t="shared" si="4"/>
        <v>3</v>
      </c>
      <c r="N73" s="10">
        <v>1</v>
      </c>
      <c r="O73" s="10">
        <v>0</v>
      </c>
      <c r="P73" s="10">
        <v>1</v>
      </c>
      <c r="Q73" s="10">
        <v>0</v>
      </c>
      <c r="R73" s="10">
        <v>0</v>
      </c>
      <c r="S73" s="11">
        <f t="shared" si="5"/>
        <v>2</v>
      </c>
      <c r="T73" s="31">
        <v>0</v>
      </c>
    </row>
    <row r="74" spans="1:21" ht="168" x14ac:dyDescent="0.25">
      <c r="A74" s="5" t="s">
        <v>298</v>
      </c>
      <c r="B74" s="5" t="s">
        <v>8</v>
      </c>
      <c r="C74" s="24" t="s">
        <v>299</v>
      </c>
      <c r="D74" s="6">
        <v>3</v>
      </c>
      <c r="E74" s="6">
        <v>2</v>
      </c>
      <c r="F74" s="7" t="s">
        <v>300</v>
      </c>
      <c r="G74" s="7" t="s">
        <v>301</v>
      </c>
      <c r="H74" s="8">
        <v>1</v>
      </c>
      <c r="I74" s="8">
        <v>0</v>
      </c>
      <c r="J74" s="8">
        <v>1</v>
      </c>
      <c r="K74" s="8">
        <v>0</v>
      </c>
      <c r="L74" s="8">
        <v>0</v>
      </c>
      <c r="M74" s="9">
        <f t="shared" si="4"/>
        <v>2</v>
      </c>
      <c r="N74" s="10">
        <v>0</v>
      </c>
      <c r="O74" s="10">
        <v>0</v>
      </c>
      <c r="P74" s="10">
        <v>0</v>
      </c>
      <c r="Q74" s="10">
        <v>0</v>
      </c>
      <c r="R74" s="10">
        <v>0</v>
      </c>
      <c r="S74" s="11">
        <f t="shared" si="5"/>
        <v>0</v>
      </c>
      <c r="T74" s="31">
        <v>0</v>
      </c>
      <c r="U74" s="34">
        <v>0</v>
      </c>
    </row>
    <row r="75" spans="1:21" ht="168" x14ac:dyDescent="0.25">
      <c r="A75" s="12" t="s">
        <v>302</v>
      </c>
      <c r="B75" s="12" t="s">
        <v>8</v>
      </c>
      <c r="C75" s="25" t="s">
        <v>303</v>
      </c>
      <c r="D75" s="6">
        <v>3</v>
      </c>
      <c r="E75" s="6">
        <v>2</v>
      </c>
      <c r="F75" s="13" t="s">
        <v>304</v>
      </c>
      <c r="G75" s="13" t="s">
        <v>305</v>
      </c>
      <c r="H75" s="8">
        <v>1</v>
      </c>
      <c r="I75" s="8">
        <v>0</v>
      </c>
      <c r="J75" s="8">
        <v>0</v>
      </c>
      <c r="K75" s="8">
        <v>0</v>
      </c>
      <c r="L75" s="8">
        <v>0</v>
      </c>
      <c r="M75" s="9">
        <f t="shared" si="4"/>
        <v>1</v>
      </c>
      <c r="N75" s="10">
        <v>0</v>
      </c>
      <c r="O75" s="10">
        <v>0</v>
      </c>
      <c r="P75" s="10">
        <v>0</v>
      </c>
      <c r="Q75" s="10">
        <v>0</v>
      </c>
      <c r="R75" s="10">
        <v>0</v>
      </c>
      <c r="S75" s="11">
        <f t="shared" si="5"/>
        <v>0</v>
      </c>
      <c r="T75" s="31">
        <v>1</v>
      </c>
      <c r="U75" s="34">
        <v>0</v>
      </c>
    </row>
    <row r="76" spans="1:21" ht="204" x14ac:dyDescent="0.25">
      <c r="A76" s="5" t="s">
        <v>306</v>
      </c>
      <c r="B76" s="5" t="s">
        <v>13</v>
      </c>
      <c r="C76" s="24" t="s">
        <v>307</v>
      </c>
      <c r="D76" s="6">
        <v>4</v>
      </c>
      <c r="E76" s="6">
        <v>3</v>
      </c>
      <c r="F76" s="7" t="s">
        <v>308</v>
      </c>
      <c r="G76" s="7" t="s">
        <v>309</v>
      </c>
      <c r="H76" s="8">
        <v>1</v>
      </c>
      <c r="I76" s="8">
        <v>1</v>
      </c>
      <c r="J76" s="8">
        <v>0</v>
      </c>
      <c r="K76" s="8">
        <v>1</v>
      </c>
      <c r="L76" s="8">
        <v>0</v>
      </c>
      <c r="M76" s="9">
        <f t="shared" si="4"/>
        <v>3</v>
      </c>
      <c r="N76" s="10">
        <v>0</v>
      </c>
      <c r="O76" s="10">
        <v>0</v>
      </c>
      <c r="P76" s="10">
        <v>0</v>
      </c>
      <c r="Q76" s="10">
        <v>0</v>
      </c>
      <c r="R76" s="10">
        <v>0</v>
      </c>
      <c r="S76" s="11">
        <f t="shared" si="5"/>
        <v>0</v>
      </c>
      <c r="T76" s="31">
        <v>1</v>
      </c>
    </row>
    <row r="77" spans="1:21" ht="192" x14ac:dyDescent="0.25">
      <c r="A77" s="12" t="s">
        <v>310</v>
      </c>
      <c r="B77" s="12" t="s">
        <v>8</v>
      </c>
      <c r="C77" s="25" t="s">
        <v>311</v>
      </c>
      <c r="D77" s="6">
        <v>4</v>
      </c>
      <c r="E77" s="6">
        <v>3</v>
      </c>
      <c r="F77" s="13" t="s">
        <v>312</v>
      </c>
      <c r="G77" s="13" t="s">
        <v>313</v>
      </c>
      <c r="H77" s="8">
        <v>1</v>
      </c>
      <c r="I77" s="8">
        <v>1</v>
      </c>
      <c r="J77" s="8">
        <v>0</v>
      </c>
      <c r="K77" s="8">
        <v>0</v>
      </c>
      <c r="L77" s="8">
        <v>0</v>
      </c>
      <c r="M77" s="9">
        <f t="shared" si="4"/>
        <v>2</v>
      </c>
      <c r="N77" s="10">
        <v>0</v>
      </c>
      <c r="O77" s="10">
        <v>0</v>
      </c>
      <c r="P77" s="10">
        <v>0</v>
      </c>
      <c r="Q77" s="10">
        <v>0</v>
      </c>
      <c r="R77" s="10">
        <v>0</v>
      </c>
      <c r="S77" s="11">
        <f t="shared" si="5"/>
        <v>0</v>
      </c>
      <c r="T77" s="31">
        <v>1</v>
      </c>
      <c r="U77" s="34">
        <v>0</v>
      </c>
    </row>
    <row r="78" spans="1:21" ht="180" x14ac:dyDescent="0.25">
      <c r="A78" s="5" t="s">
        <v>314</v>
      </c>
      <c r="B78" s="5" t="s">
        <v>13</v>
      </c>
      <c r="C78" s="24" t="s">
        <v>315</v>
      </c>
      <c r="D78" s="6">
        <v>4</v>
      </c>
      <c r="E78" s="6">
        <v>3</v>
      </c>
      <c r="F78" s="7" t="s">
        <v>316</v>
      </c>
      <c r="G78" s="7" t="s">
        <v>317</v>
      </c>
      <c r="H78" s="8">
        <v>1</v>
      </c>
      <c r="I78" s="8">
        <v>0</v>
      </c>
      <c r="J78" s="8">
        <v>1</v>
      </c>
      <c r="K78" s="8">
        <v>1</v>
      </c>
      <c r="L78" s="8">
        <v>0</v>
      </c>
      <c r="M78" s="9">
        <f t="shared" si="4"/>
        <v>3</v>
      </c>
      <c r="N78" s="10">
        <v>0</v>
      </c>
      <c r="O78" s="10">
        <v>1</v>
      </c>
      <c r="P78" s="10">
        <v>1</v>
      </c>
      <c r="Q78" s="10">
        <v>0</v>
      </c>
      <c r="R78" s="10">
        <v>0</v>
      </c>
      <c r="S78" s="11">
        <f t="shared" si="5"/>
        <v>2</v>
      </c>
      <c r="T78" s="31">
        <v>0</v>
      </c>
    </row>
    <row r="79" spans="1:21" ht="204" x14ac:dyDescent="0.25">
      <c r="A79" s="12" t="s">
        <v>318</v>
      </c>
      <c r="B79" s="12" t="s">
        <v>13</v>
      </c>
      <c r="C79" s="25" t="s">
        <v>319</v>
      </c>
      <c r="D79" s="6">
        <v>3</v>
      </c>
      <c r="E79" s="6">
        <v>2</v>
      </c>
      <c r="F79" s="13" t="s">
        <v>320</v>
      </c>
      <c r="G79" s="13" t="s">
        <v>321</v>
      </c>
      <c r="H79" s="8">
        <v>1</v>
      </c>
      <c r="I79" s="8">
        <v>1</v>
      </c>
      <c r="J79" s="8">
        <v>0</v>
      </c>
      <c r="K79" s="8">
        <v>0</v>
      </c>
      <c r="L79" s="8">
        <v>0</v>
      </c>
      <c r="M79" s="9">
        <f t="shared" si="4"/>
        <v>2</v>
      </c>
      <c r="N79" s="10">
        <v>0</v>
      </c>
      <c r="O79" s="10">
        <v>0</v>
      </c>
      <c r="P79" s="10">
        <v>0</v>
      </c>
      <c r="Q79" s="10">
        <v>0</v>
      </c>
      <c r="R79" s="10">
        <v>0</v>
      </c>
      <c r="S79" s="11">
        <f t="shared" si="5"/>
        <v>0</v>
      </c>
      <c r="T79" s="31">
        <v>0</v>
      </c>
      <c r="U79" s="34">
        <v>0</v>
      </c>
    </row>
    <row r="80" spans="1:21" ht="168" x14ac:dyDescent="0.25">
      <c r="A80" s="5" t="s">
        <v>322</v>
      </c>
      <c r="B80" s="5" t="s">
        <v>8</v>
      </c>
      <c r="C80" s="24" t="s">
        <v>323</v>
      </c>
      <c r="D80" s="6">
        <v>4</v>
      </c>
      <c r="E80" s="6">
        <v>3</v>
      </c>
      <c r="F80" s="7" t="s">
        <v>324</v>
      </c>
      <c r="G80" s="7" t="s">
        <v>325</v>
      </c>
      <c r="H80" s="8">
        <v>1</v>
      </c>
      <c r="I80" s="8">
        <v>0</v>
      </c>
      <c r="J80" s="8">
        <v>1</v>
      </c>
      <c r="K80" s="8">
        <v>1</v>
      </c>
      <c r="L80" s="8">
        <v>0</v>
      </c>
      <c r="M80" s="9">
        <f t="shared" si="4"/>
        <v>3</v>
      </c>
      <c r="N80" s="10">
        <v>0</v>
      </c>
      <c r="O80" s="10">
        <v>1</v>
      </c>
      <c r="P80" s="10">
        <v>1</v>
      </c>
      <c r="Q80" s="10">
        <v>0</v>
      </c>
      <c r="R80" s="10">
        <v>0</v>
      </c>
      <c r="S80" s="11">
        <f t="shared" si="5"/>
        <v>2</v>
      </c>
      <c r="T80" s="31">
        <v>0</v>
      </c>
      <c r="U80" s="34">
        <v>0</v>
      </c>
    </row>
    <row r="81" spans="1:21" ht="180" x14ac:dyDescent="0.25">
      <c r="A81" s="12" t="s">
        <v>326</v>
      </c>
      <c r="B81" s="12" t="s">
        <v>13</v>
      </c>
      <c r="C81" s="25" t="s">
        <v>327</v>
      </c>
      <c r="D81" s="6">
        <v>3</v>
      </c>
      <c r="E81" s="6">
        <v>2</v>
      </c>
      <c r="F81" s="13" t="s">
        <v>328</v>
      </c>
      <c r="G81" s="13" t="s">
        <v>329</v>
      </c>
      <c r="H81" s="8">
        <v>1</v>
      </c>
      <c r="I81" s="8">
        <v>1</v>
      </c>
      <c r="J81" s="8">
        <v>0</v>
      </c>
      <c r="K81" s="8">
        <v>0</v>
      </c>
      <c r="L81" s="8">
        <v>0</v>
      </c>
      <c r="M81" s="9">
        <f t="shared" si="4"/>
        <v>2</v>
      </c>
      <c r="N81" s="10">
        <v>0</v>
      </c>
      <c r="O81" s="10">
        <v>0</v>
      </c>
      <c r="P81" s="10">
        <v>0</v>
      </c>
      <c r="Q81" s="10">
        <v>0</v>
      </c>
      <c r="R81" s="10">
        <v>0</v>
      </c>
      <c r="S81" s="11">
        <f t="shared" si="5"/>
        <v>0</v>
      </c>
      <c r="T81" s="31">
        <v>1</v>
      </c>
      <c r="U81" s="34">
        <v>0</v>
      </c>
    </row>
    <row r="82" spans="1:21" ht="168" x14ac:dyDescent="0.25">
      <c r="A82" s="5" t="s">
        <v>330</v>
      </c>
      <c r="B82" s="5" t="s">
        <v>13</v>
      </c>
      <c r="C82" s="24" t="s">
        <v>331</v>
      </c>
      <c r="D82" s="6">
        <v>3</v>
      </c>
      <c r="E82" s="6">
        <v>2</v>
      </c>
      <c r="F82" s="7" t="s">
        <v>332</v>
      </c>
      <c r="G82" s="7" t="s">
        <v>333</v>
      </c>
      <c r="H82" s="8">
        <v>1</v>
      </c>
      <c r="I82" s="8">
        <v>1</v>
      </c>
      <c r="J82" s="8">
        <v>1</v>
      </c>
      <c r="K82" s="8">
        <v>0</v>
      </c>
      <c r="L82" s="8">
        <v>0</v>
      </c>
      <c r="M82" s="9">
        <f t="shared" si="4"/>
        <v>3</v>
      </c>
      <c r="N82" s="10">
        <v>0</v>
      </c>
      <c r="O82" s="10">
        <v>1</v>
      </c>
      <c r="P82" s="10">
        <v>1</v>
      </c>
      <c r="Q82" s="10">
        <v>0</v>
      </c>
      <c r="R82" s="10">
        <v>0</v>
      </c>
      <c r="S82" s="11">
        <f t="shared" si="5"/>
        <v>2</v>
      </c>
      <c r="T82" s="31">
        <v>0</v>
      </c>
    </row>
    <row r="83" spans="1:21" ht="216" x14ac:dyDescent="0.25">
      <c r="A83" s="12" t="s">
        <v>334</v>
      </c>
      <c r="B83" s="12" t="s">
        <v>8</v>
      </c>
      <c r="C83" s="25" t="s">
        <v>335</v>
      </c>
      <c r="D83" s="6">
        <v>3</v>
      </c>
      <c r="E83" s="6">
        <v>2</v>
      </c>
      <c r="F83" s="13" t="s">
        <v>336</v>
      </c>
      <c r="G83" s="13" t="s">
        <v>337</v>
      </c>
      <c r="H83" s="8">
        <v>1</v>
      </c>
      <c r="I83" s="8">
        <v>1</v>
      </c>
      <c r="J83" s="8">
        <v>0</v>
      </c>
      <c r="K83" s="8">
        <v>0</v>
      </c>
      <c r="L83" s="8">
        <v>0</v>
      </c>
      <c r="M83" s="9">
        <f t="shared" si="4"/>
        <v>2</v>
      </c>
      <c r="N83" s="10">
        <v>0</v>
      </c>
      <c r="O83" s="10">
        <v>0</v>
      </c>
      <c r="P83" s="10">
        <v>0</v>
      </c>
      <c r="Q83" s="10">
        <v>0</v>
      </c>
      <c r="R83" s="10">
        <v>0</v>
      </c>
      <c r="S83" s="11">
        <f t="shared" si="5"/>
        <v>0</v>
      </c>
      <c r="T83" s="31">
        <v>0</v>
      </c>
      <c r="U83" s="34">
        <v>0</v>
      </c>
    </row>
  </sheetData>
  <autoFilter ref="A1:V83" xr:uid="{00000000-0001-0000-0000-000000000000}"/>
  <dataValidations count="1">
    <dataValidation type="whole" showErrorMessage="1" errorTitle="Invalid input" error="Please enter 0 (No) or 1 (Yes)" sqref="H2:L83 T2:T83 N2:R83" xr:uid="{00000000-0002-0000-0000-000000000000}">
      <formula1>0</formula1>
      <formula2>1</formula2>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zoomScale="135" workbookViewId="0">
      <selection activeCell="B13" sqref="B13"/>
    </sheetView>
  </sheetViews>
  <sheetFormatPr defaultColWidth="8.85546875" defaultRowHeight="15" x14ac:dyDescent="0.25"/>
  <cols>
    <col min="1" max="1" width="51.85546875" customWidth="1"/>
    <col min="2" max="2" width="22" customWidth="1"/>
    <col min="3" max="3" width="65" customWidth="1"/>
    <col min="4" max="4" width="40" customWidth="1"/>
  </cols>
  <sheetData>
    <row r="1" spans="1:8" ht="18" x14ac:dyDescent="0.25">
      <c r="A1" s="14" t="s">
        <v>338</v>
      </c>
      <c r="B1" s="14"/>
      <c r="C1" s="14"/>
      <c r="D1" s="14"/>
    </row>
    <row r="2" spans="1:8" x14ac:dyDescent="0.25">
      <c r="A2" s="15"/>
      <c r="B2" s="15"/>
      <c r="C2" s="16"/>
      <c r="D2" s="16"/>
    </row>
    <row r="3" spans="1:8" x14ac:dyDescent="0.25">
      <c r="A3" s="17" t="s">
        <v>339</v>
      </c>
      <c r="B3" s="17" t="s">
        <v>340</v>
      </c>
      <c r="C3" s="17" t="s">
        <v>341</v>
      </c>
      <c r="D3" s="17" t="s">
        <v>342</v>
      </c>
    </row>
    <row r="4" spans="1:8" x14ac:dyDescent="0.25">
      <c r="A4" s="18" t="s">
        <v>343</v>
      </c>
      <c r="B4" s="18"/>
      <c r="C4" s="18"/>
      <c r="D4" s="18"/>
    </row>
    <row r="5" spans="1:8" ht="24" x14ac:dyDescent="0.25">
      <c r="A5" s="15"/>
      <c r="B5" s="19" t="s">
        <v>344</v>
      </c>
      <c r="C5" s="16" t="s">
        <v>345</v>
      </c>
      <c r="D5" s="16" t="s">
        <v>346</v>
      </c>
    </row>
    <row r="6" spans="1:8" ht="36" x14ac:dyDescent="0.25">
      <c r="A6" s="15"/>
      <c r="B6" s="19" t="s">
        <v>347</v>
      </c>
      <c r="C6" s="16" t="s">
        <v>398</v>
      </c>
      <c r="D6" s="16" t="s">
        <v>348</v>
      </c>
    </row>
    <row r="7" spans="1:8" ht="24" x14ac:dyDescent="0.25">
      <c r="A7" s="15"/>
      <c r="B7" s="19" t="s">
        <v>349</v>
      </c>
      <c r="C7" s="16" t="s">
        <v>396</v>
      </c>
      <c r="D7" s="16" t="s">
        <v>350</v>
      </c>
    </row>
    <row r="8" spans="1:8" ht="24" x14ac:dyDescent="0.25">
      <c r="A8" s="15"/>
      <c r="B8" s="19" t="s">
        <v>351</v>
      </c>
      <c r="C8" s="16" t="s">
        <v>352</v>
      </c>
      <c r="D8" s="16" t="s">
        <v>353</v>
      </c>
    </row>
    <row r="9" spans="1:8" ht="36" x14ac:dyDescent="0.25">
      <c r="A9" s="15"/>
      <c r="B9" s="27" t="s">
        <v>393</v>
      </c>
      <c r="C9" s="28" t="s">
        <v>394</v>
      </c>
      <c r="D9" s="28" t="s">
        <v>395</v>
      </c>
      <c r="G9" s="16"/>
      <c r="H9" s="16"/>
    </row>
    <row r="10" spans="1:8" ht="24" x14ac:dyDescent="0.25">
      <c r="A10" s="15"/>
      <c r="B10" s="19" t="s">
        <v>389</v>
      </c>
      <c r="C10" s="16" t="s">
        <v>356</v>
      </c>
      <c r="D10" s="16" t="s">
        <v>357</v>
      </c>
    </row>
    <row r="11" spans="1:8" x14ac:dyDescent="0.25">
      <c r="A11" s="20" t="s">
        <v>358</v>
      </c>
      <c r="B11" s="20"/>
      <c r="C11" s="20"/>
      <c r="D11" s="20"/>
    </row>
    <row r="12" spans="1:8" ht="36" x14ac:dyDescent="0.25">
      <c r="A12" s="15"/>
      <c r="B12" s="21" t="s">
        <v>359</v>
      </c>
      <c r="C12" s="16" t="s">
        <v>399</v>
      </c>
      <c r="D12" s="16" t="s">
        <v>360</v>
      </c>
    </row>
    <row r="13" spans="1:8" ht="24" x14ac:dyDescent="0.25">
      <c r="A13" s="15"/>
      <c r="B13" s="21" t="s">
        <v>361</v>
      </c>
      <c r="C13" s="16" t="s">
        <v>362</v>
      </c>
      <c r="D13" s="16" t="s">
        <v>363</v>
      </c>
    </row>
    <row r="14" spans="1:8" ht="24" x14ac:dyDescent="0.25">
      <c r="A14" s="15"/>
      <c r="B14" s="21" t="s">
        <v>364</v>
      </c>
      <c r="C14" s="16" t="s">
        <v>365</v>
      </c>
      <c r="D14" s="16" t="s">
        <v>366</v>
      </c>
    </row>
    <row r="15" spans="1:8" ht="24" x14ac:dyDescent="0.25">
      <c r="A15" s="15"/>
      <c r="B15" s="21" t="s">
        <v>367</v>
      </c>
      <c r="C15" s="16" t="s">
        <v>368</v>
      </c>
      <c r="D15" s="16" t="s">
        <v>369</v>
      </c>
    </row>
    <row r="16" spans="1:8" ht="24" x14ac:dyDescent="0.25">
      <c r="A16" s="15"/>
      <c r="B16" s="21" t="s">
        <v>370</v>
      </c>
      <c r="C16" s="16" t="s">
        <v>371</v>
      </c>
      <c r="D16" s="16" t="s">
        <v>372</v>
      </c>
    </row>
    <row r="17" spans="1:4" ht="24" x14ac:dyDescent="0.25">
      <c r="A17" s="15"/>
      <c r="B17" s="21" t="s">
        <v>390</v>
      </c>
      <c r="C17" s="16" t="s">
        <v>373</v>
      </c>
      <c r="D17" s="16" t="s">
        <v>357</v>
      </c>
    </row>
    <row r="18" spans="1:4" x14ac:dyDescent="0.25">
      <c r="A18" s="51"/>
      <c r="B18" s="51"/>
      <c r="C18" s="51"/>
      <c r="D18" s="51"/>
    </row>
    <row r="19" spans="1:4" ht="36" x14ac:dyDescent="0.25">
      <c r="A19" s="15"/>
      <c r="B19" s="30" t="s">
        <v>354</v>
      </c>
      <c r="C19" s="16" t="s">
        <v>397</v>
      </c>
      <c r="D19" s="16" t="s">
        <v>355</v>
      </c>
    </row>
    <row r="20" spans="1:4" x14ac:dyDescent="0.25">
      <c r="A20" s="17" t="s">
        <v>374</v>
      </c>
      <c r="B20" s="17"/>
      <c r="C20" s="17"/>
      <c r="D20" s="17"/>
    </row>
    <row r="21" spans="1:4" x14ac:dyDescent="0.25">
      <c r="A21" s="17" t="s">
        <v>375</v>
      </c>
      <c r="B21" s="17" t="s">
        <v>376</v>
      </c>
      <c r="C21" s="17"/>
      <c r="D21" s="17"/>
    </row>
    <row r="22" spans="1:4" x14ac:dyDescent="0.25">
      <c r="A22" s="15" t="s">
        <v>377</v>
      </c>
      <c r="B22" s="52" t="s">
        <v>378</v>
      </c>
      <c r="C22" s="53"/>
      <c r="D22" s="16"/>
    </row>
    <row r="23" spans="1:4" x14ac:dyDescent="0.25">
      <c r="A23" s="15" t="s">
        <v>379</v>
      </c>
      <c r="B23" s="52" t="s">
        <v>380</v>
      </c>
      <c r="C23" s="53"/>
      <c r="D23" s="16"/>
    </row>
    <row r="24" spans="1:4" x14ac:dyDescent="0.25">
      <c r="A24" s="15" t="s">
        <v>381</v>
      </c>
      <c r="B24" s="52" t="s">
        <v>382</v>
      </c>
      <c r="C24" s="53"/>
      <c r="D24" s="16"/>
    </row>
    <row r="25" spans="1:4" x14ac:dyDescent="0.25">
      <c r="A25" s="15" t="s">
        <v>383</v>
      </c>
      <c r="B25" s="52" t="s">
        <v>384</v>
      </c>
      <c r="C25" s="53"/>
      <c r="D25" s="16"/>
    </row>
    <row r="26" spans="1:4" x14ac:dyDescent="0.25">
      <c r="A26" s="15" t="s">
        <v>385</v>
      </c>
      <c r="B26" s="52" t="s">
        <v>386</v>
      </c>
      <c r="C26" s="53"/>
      <c r="D26" s="16"/>
    </row>
    <row r="27" spans="1:4" x14ac:dyDescent="0.25">
      <c r="A27" s="15" t="s">
        <v>387</v>
      </c>
      <c r="B27" s="52" t="s">
        <v>388</v>
      </c>
      <c r="C27" s="53"/>
      <c r="D27" s="16"/>
    </row>
  </sheetData>
  <mergeCells count="7">
    <mergeCell ref="A18:D18"/>
    <mergeCell ref="B27:C27"/>
    <mergeCell ref="B22:C22"/>
    <mergeCell ref="B23:C23"/>
    <mergeCell ref="B24:C24"/>
    <mergeCell ref="B25:C25"/>
    <mergeCell ref="B26:C26"/>
  </mergeCells>
  <pageMargins left="0.75" right="0.75" top="1" bottom="1" header="0.5" footer="0.5"/>
</worksheet>
</file>

<file path=docMetadata/LabelInfo.xml><?xml version="1.0" encoding="utf-8"?>
<clbl:labelList xmlns:clbl="http://schemas.microsoft.com/office/2020/mipLabelMetadata">
  <clbl:label id="{35b66c34-d3f7-4b74-a2f5-5e46d77d2b05}" enabled="1" method="Privileged" siteId="{1e586649-7317-42fb-8949-66923d34ba7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Manual Review</vt:lpstr>
      <vt:lpstr>Legend &amp;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Iranpour</cp:lastModifiedBy>
  <dcterms:created xsi:type="dcterms:W3CDTF">2026-02-23T18:21:43Z</dcterms:created>
  <dcterms:modified xsi:type="dcterms:W3CDTF">2026-03-09T12:14:44Z</dcterms:modified>
</cp:coreProperties>
</file>